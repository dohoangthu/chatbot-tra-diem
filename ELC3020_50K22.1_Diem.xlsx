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ueudn-my.sharepoint.com/personal/thudh_due_udn_vn/Documents/Hoang Thu/DUE/courses/DS4B/50K22.1/"/>
    </mc:Choice>
  </mc:AlternateContent>
  <xr:revisionPtr revIDLastSave="9" documentId="11_9917170396F4273FF6F7DC94B1E5B5A3649D0CF3" xr6:coauthVersionLast="47" xr6:coauthVersionMax="47" xr10:uidLastSave="{CCD2D604-D4ED-4591-9FFE-C5B171073453}"/>
  <bookViews>
    <workbookView xWindow="28680" yWindow="-120" windowWidth="29040" windowHeight="15720" xr2:uid="{00000000-000D-0000-FFFF-FFFF00000000}"/>
  </bookViews>
  <sheets>
    <sheet name="ELC3020_50K22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10" i="1"/>
  <c r="O16" i="1"/>
  <c r="P16" i="1" s="1"/>
  <c r="O24" i="1"/>
  <c r="P24" i="1" s="1"/>
  <c r="O32" i="1"/>
  <c r="P32" i="1" s="1"/>
  <c r="O40" i="1"/>
  <c r="P40" i="1" s="1"/>
  <c r="O48" i="1"/>
  <c r="P48" i="1" s="1"/>
  <c r="P13" i="1"/>
  <c r="P8" i="1"/>
  <c r="P10" i="1"/>
  <c r="K13" i="1"/>
  <c r="O13" i="1" s="1"/>
  <c r="K2" i="1"/>
  <c r="O2" i="1" s="1"/>
  <c r="P2" i="1" s="1"/>
  <c r="K3" i="1"/>
  <c r="O3" i="1" s="1"/>
  <c r="P3" i="1" s="1"/>
  <c r="K5" i="1"/>
  <c r="O5" i="1" s="1"/>
  <c r="P5" i="1" s="1"/>
  <c r="K6" i="1"/>
  <c r="O6" i="1" s="1"/>
  <c r="P6" i="1" s="1"/>
  <c r="K7" i="1"/>
  <c r="O7" i="1" s="1"/>
  <c r="P7" i="1" s="1"/>
  <c r="K8" i="1"/>
  <c r="K9" i="1"/>
  <c r="O9" i="1" s="1"/>
  <c r="P9" i="1" s="1"/>
  <c r="K10" i="1"/>
  <c r="K11" i="1"/>
  <c r="O11" i="1" s="1"/>
  <c r="P11" i="1" s="1"/>
  <c r="K12" i="1"/>
  <c r="O12" i="1" s="1"/>
  <c r="P12" i="1" s="1"/>
  <c r="K14" i="1"/>
  <c r="O14" i="1" s="1"/>
  <c r="P14" i="1" s="1"/>
  <c r="K15" i="1"/>
  <c r="O15" i="1" s="1"/>
  <c r="P15" i="1" s="1"/>
  <c r="K16" i="1"/>
  <c r="K17" i="1"/>
  <c r="O17" i="1" s="1"/>
  <c r="P17" i="1" s="1"/>
  <c r="K18" i="1"/>
  <c r="O18" i="1" s="1"/>
  <c r="P18" i="1" s="1"/>
  <c r="K19" i="1"/>
  <c r="O19" i="1" s="1"/>
  <c r="P19" i="1" s="1"/>
  <c r="K20" i="1"/>
  <c r="O20" i="1" s="1"/>
  <c r="P20" i="1" s="1"/>
  <c r="K21" i="1"/>
  <c r="O21" i="1" s="1"/>
  <c r="P21" i="1" s="1"/>
  <c r="K22" i="1"/>
  <c r="O22" i="1" s="1"/>
  <c r="P22" i="1" s="1"/>
  <c r="K23" i="1"/>
  <c r="O23" i="1" s="1"/>
  <c r="P23" i="1" s="1"/>
  <c r="K24" i="1"/>
  <c r="K25" i="1"/>
  <c r="O25" i="1" s="1"/>
  <c r="P25" i="1" s="1"/>
  <c r="K26" i="1"/>
  <c r="O26" i="1" s="1"/>
  <c r="P26" i="1" s="1"/>
  <c r="K27" i="1"/>
  <c r="O27" i="1" s="1"/>
  <c r="P27" i="1" s="1"/>
  <c r="K28" i="1"/>
  <c r="O28" i="1" s="1"/>
  <c r="P28" i="1" s="1"/>
  <c r="K29" i="1"/>
  <c r="O29" i="1" s="1"/>
  <c r="P29" i="1" s="1"/>
  <c r="K30" i="1"/>
  <c r="O30" i="1" s="1"/>
  <c r="P30" i="1" s="1"/>
  <c r="K31" i="1"/>
  <c r="O31" i="1" s="1"/>
  <c r="P31" i="1" s="1"/>
  <c r="K32" i="1"/>
  <c r="K33" i="1"/>
  <c r="O33" i="1" s="1"/>
  <c r="P33" i="1" s="1"/>
  <c r="K34" i="1"/>
  <c r="O34" i="1" s="1"/>
  <c r="P34" i="1" s="1"/>
  <c r="K35" i="1"/>
  <c r="O35" i="1" s="1"/>
  <c r="P35" i="1" s="1"/>
  <c r="K36" i="1"/>
  <c r="O36" i="1" s="1"/>
  <c r="P36" i="1" s="1"/>
  <c r="K37" i="1"/>
  <c r="O37" i="1" s="1"/>
  <c r="P37" i="1" s="1"/>
  <c r="K38" i="1"/>
  <c r="O38" i="1" s="1"/>
  <c r="P38" i="1" s="1"/>
  <c r="K39" i="1"/>
  <c r="O39" i="1" s="1"/>
  <c r="P39" i="1" s="1"/>
  <c r="K40" i="1"/>
  <c r="K41" i="1"/>
  <c r="O41" i="1" s="1"/>
  <c r="P41" i="1" s="1"/>
  <c r="K42" i="1"/>
  <c r="O42" i="1" s="1"/>
  <c r="P42" i="1" s="1"/>
  <c r="K43" i="1"/>
  <c r="O43" i="1" s="1"/>
  <c r="P43" i="1" s="1"/>
  <c r="K44" i="1"/>
  <c r="O44" i="1" s="1"/>
  <c r="P44" i="1" s="1"/>
  <c r="K45" i="1"/>
  <c r="O45" i="1" s="1"/>
  <c r="P45" i="1" s="1"/>
  <c r="K46" i="1"/>
  <c r="O46" i="1" s="1"/>
  <c r="P46" i="1" s="1"/>
  <c r="K47" i="1"/>
  <c r="O47" i="1" s="1"/>
  <c r="P47" i="1" s="1"/>
  <c r="K48" i="1"/>
  <c r="K49" i="1"/>
  <c r="O49" i="1" s="1"/>
  <c r="P49" i="1" s="1"/>
  <c r="K4" i="1"/>
  <c r="O4" i="1" s="1"/>
  <c r="P4" i="1" s="1"/>
</calcChain>
</file>

<file path=xl/sharedStrings.xml><?xml version="1.0" encoding="utf-8"?>
<sst xmlns="http://schemas.openxmlformats.org/spreadsheetml/2006/main" count="208" uniqueCount="150">
  <si>
    <t>48K22.1</t>
  </si>
  <si>
    <t>Chế Văn</t>
  </si>
  <si>
    <t>Thiện</t>
  </si>
  <si>
    <t>221124022133</t>
  </si>
  <si>
    <t>49K08.1</t>
  </si>
  <si>
    <t>Đỗ Minh</t>
  </si>
  <si>
    <t>Ánh</t>
  </si>
  <si>
    <t>231124008102</t>
  </si>
  <si>
    <t>Hoàng Huỳnh</t>
  </si>
  <si>
    <t>Đức</t>
  </si>
  <si>
    <t>231124008105</t>
  </si>
  <si>
    <t>Nguyễn Thị Ngọc</t>
  </si>
  <si>
    <t>Hiếu</t>
  </si>
  <si>
    <t>231124008110</t>
  </si>
  <si>
    <t>Thái Lê Minh</t>
  </si>
  <si>
    <t>Tuân</t>
  </si>
  <si>
    <t>231124008143</t>
  </si>
  <si>
    <t>Mạc Văn</t>
  </si>
  <si>
    <t>Vũ</t>
  </si>
  <si>
    <t>231124008146</t>
  </si>
  <si>
    <t>50K22.1</t>
  </si>
  <si>
    <t>Đào Nguyễn Phương</t>
  </si>
  <si>
    <t>Anh</t>
  </si>
  <si>
    <t>241124022103</t>
  </si>
  <si>
    <t>Nguyễn Phương</t>
  </si>
  <si>
    <t>241124022102</t>
  </si>
  <si>
    <t>Trần Thị Quỳnh</t>
  </si>
  <si>
    <t>241124022101</t>
  </si>
  <si>
    <t>Nguyễn Trọng</t>
  </si>
  <si>
    <t>Cảnh</t>
  </si>
  <si>
    <t>241124022104</t>
  </si>
  <si>
    <t>Huỳnh Ngọc Quế</t>
  </si>
  <si>
    <t>Châu</t>
  </si>
  <si>
    <t>241124022106</t>
  </si>
  <si>
    <t>Trần Ngọc Bảo</t>
  </si>
  <si>
    <t>241124022105</t>
  </si>
  <si>
    <t>Nguyễn Tiến</t>
  </si>
  <si>
    <t>Đạt</t>
  </si>
  <si>
    <t>241124022107</t>
  </si>
  <si>
    <t>Trương Văn Nguyên</t>
  </si>
  <si>
    <t>241124022108</t>
  </si>
  <si>
    <t>Võ Ngọc Ngân</t>
  </si>
  <si>
    <t>Giao</t>
  </si>
  <si>
    <t>241124022109</t>
  </si>
  <si>
    <t>Nguyễn Quỳnh</t>
  </si>
  <si>
    <t>Hương</t>
  </si>
  <si>
    <t>241124022112</t>
  </si>
  <si>
    <t>Đặng Gia</t>
  </si>
  <si>
    <t>Huy</t>
  </si>
  <si>
    <t>241124022113</t>
  </si>
  <si>
    <t>Đào Ngọc Minh</t>
  </si>
  <si>
    <t>Kha</t>
  </si>
  <si>
    <t>241124022114</t>
  </si>
  <si>
    <t>Thân Đức</t>
  </si>
  <si>
    <t>Khải</t>
  </si>
  <si>
    <t>241124022115</t>
  </si>
  <si>
    <t>Lê Ngọc Minh</t>
  </si>
  <si>
    <t>Khánh</t>
  </si>
  <si>
    <t>241124022117</t>
  </si>
  <si>
    <t>Lê Viết</t>
  </si>
  <si>
    <t>Khoa</t>
  </si>
  <si>
    <t>241124022118</t>
  </si>
  <si>
    <t>Nguyễn Quang</t>
  </si>
  <si>
    <t>Mạnh</t>
  </si>
  <si>
    <t>241124022119</t>
  </si>
  <si>
    <t>Nguyễn Đoàn Khánh</t>
  </si>
  <si>
    <t>Minh</t>
  </si>
  <si>
    <t>241124022120</t>
  </si>
  <si>
    <t>Trần Phương Hải</t>
  </si>
  <si>
    <t>241124022121</t>
  </si>
  <si>
    <t>Nguyễn Thị Lê</t>
  </si>
  <si>
    <t>Na</t>
  </si>
  <si>
    <t>241124022123</t>
  </si>
  <si>
    <t>Võ Thị Hạ</t>
  </si>
  <si>
    <t>241124022122</t>
  </si>
  <si>
    <t>Nguyễn Nhật</t>
  </si>
  <si>
    <t>Nam</t>
  </si>
  <si>
    <t>241124022124</t>
  </si>
  <si>
    <t>Nguyễn Thị Kim</t>
  </si>
  <si>
    <t>Ngân</t>
  </si>
  <si>
    <t>241124022125</t>
  </si>
  <si>
    <t>Lương Minh Bảo</t>
  </si>
  <si>
    <t>Ngọc</t>
  </si>
  <si>
    <t>241124022126</t>
  </si>
  <si>
    <t>Trần Trần Thảo</t>
  </si>
  <si>
    <t>241124022127</t>
  </si>
  <si>
    <t>Lê Thảo</t>
  </si>
  <si>
    <t>Nguyên</t>
  </si>
  <si>
    <t>241124022129</t>
  </si>
  <si>
    <t>Mai Nhật</t>
  </si>
  <si>
    <t>241124022128</t>
  </si>
  <si>
    <t>Bùi Hoàng Minh</t>
  </si>
  <si>
    <t>Quang</t>
  </si>
  <si>
    <t>241124022131</t>
  </si>
  <si>
    <t>Lê Nhật</t>
  </si>
  <si>
    <t>241124022130</t>
  </si>
  <si>
    <t>Trần Thị</t>
  </si>
  <si>
    <t>Thà</t>
  </si>
  <si>
    <t>241124022132</t>
  </si>
  <si>
    <t>Hoàng Lê</t>
  </si>
  <si>
    <t>Thành</t>
  </si>
  <si>
    <t>241124022134</t>
  </si>
  <si>
    <t>Mai Ngọc</t>
  </si>
  <si>
    <t>241124022133</t>
  </si>
  <si>
    <t>Nguyễn Thị Thanh</t>
  </si>
  <si>
    <t>Thảo</t>
  </si>
  <si>
    <t>241124022135</t>
  </si>
  <si>
    <t>Nguyễn Hà Bảo</t>
  </si>
  <si>
    <t>Trân</t>
  </si>
  <si>
    <t>241124022138</t>
  </si>
  <si>
    <t>Nguyễn Hoài Bảo</t>
  </si>
  <si>
    <t>241124022137</t>
  </si>
  <si>
    <t>Tôn Thị Huyền</t>
  </si>
  <si>
    <t>241124022139</t>
  </si>
  <si>
    <t>Trần Hoàng Yến</t>
  </si>
  <si>
    <t>Trang</t>
  </si>
  <si>
    <t>241124022141</t>
  </si>
  <si>
    <t>Trương Thị Huyền</t>
  </si>
  <si>
    <t>241124022140</t>
  </si>
  <si>
    <t>Huỳnh Minh</t>
  </si>
  <si>
    <t>Trí</t>
  </si>
  <si>
    <t>241124022142</t>
  </si>
  <si>
    <t>Văn Minh</t>
  </si>
  <si>
    <t>Tuấn</t>
  </si>
  <si>
    <t>241124022143</t>
  </si>
  <si>
    <t>Lê Bảo</t>
  </si>
  <si>
    <t>Tuyền</t>
  </si>
  <si>
    <t>241124022144</t>
  </si>
  <si>
    <t>Nguyễn Tố</t>
  </si>
  <si>
    <t>Uyên</t>
  </si>
  <si>
    <t>241124022145</t>
  </si>
  <si>
    <t>Nguyễn Thị Bích</t>
  </si>
  <si>
    <t>Vy</t>
  </si>
  <si>
    <t>241124022146</t>
  </si>
  <si>
    <t>MSSV</t>
  </si>
  <si>
    <t>Điểm danh 1</t>
  </si>
  <si>
    <t>Điểm danh 2</t>
  </si>
  <si>
    <t>Kiểm tra chương 1</t>
  </si>
  <si>
    <t>Kiểm tra tiền xử lý dữ liệu</t>
  </si>
  <si>
    <t>Kiểm tra data mining</t>
  </si>
  <si>
    <t>Điểm cộng</t>
  </si>
  <si>
    <t>Thành phần 1</t>
  </si>
  <si>
    <t>Biểu đồ nâng cao (15% TP2)</t>
  </si>
  <si>
    <t>Tư duy phân tích và xây dựng dashboard (15% TP2)</t>
  </si>
  <si>
    <t>Thi giữa kỳ (70% TP2)</t>
  </si>
  <si>
    <t>Thành phần 2</t>
  </si>
  <si>
    <t>Lớp</t>
  </si>
  <si>
    <t>Họ và tên đệm</t>
  </si>
  <si>
    <t>Tên</t>
  </si>
  <si>
    <t>Điểm dư từ TP1 (x 1/3) + TP2)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</si>
</sst>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rgb="FF000000"/>
      <name val="Calibri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6" fillId="0" borderId="0" xfId="0" applyNumberFormat="1" applyFont="1"/>
    <xf numFmtId="0" fontId="2" fillId="3" borderId="0" xfId="0" applyFont="1" applyFill="1"/>
    <xf numFmtId="0" fontId="0" fillId="4" borderId="0" xfId="0" applyFill="1"/>
    <xf numFmtId="164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164" fontId="4" fillId="0" borderId="3" xfId="0" applyNumberFormat="1" applyFont="1" applyBorder="1"/>
    <xf numFmtId="0" fontId="1" fillId="0" borderId="3" xfId="0" applyFont="1" applyBorder="1" applyAlignment="1">
      <alignment wrapText="1"/>
    </xf>
    <xf numFmtId="164" fontId="1" fillId="0" borderId="3" xfId="0" applyNumberFormat="1" applyFont="1" applyBorder="1"/>
    <xf numFmtId="164" fontId="4" fillId="0" borderId="4" xfId="0" applyNumberFormat="1" applyFont="1" applyBorder="1"/>
    <xf numFmtId="0" fontId="2" fillId="0" borderId="5" xfId="0" applyFont="1" applyBorder="1"/>
    <xf numFmtId="0" fontId="2" fillId="0" borderId="1" xfId="0" applyFont="1" applyBorder="1"/>
    <xf numFmtId="164" fontId="5" fillId="0" borderId="1" xfId="0" applyNumberFormat="1" applyFont="1" applyBorder="1"/>
    <xf numFmtId="164" fontId="2" fillId="0" borderId="1" xfId="0" applyNumberFormat="1" applyFont="1" applyBorder="1"/>
    <xf numFmtId="164" fontId="6" fillId="0" borderId="6" xfId="0" applyNumberFormat="1" applyFont="1" applyBorder="1"/>
    <xf numFmtId="0" fontId="3" fillId="0" borderId="1" xfId="0" applyFont="1" applyBorder="1"/>
    <xf numFmtId="0" fontId="2" fillId="2" borderId="1" xfId="0" applyFont="1" applyFill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/>
    <xf numFmtId="164" fontId="5" fillId="0" borderId="8" xfId="0" applyNumberFormat="1" applyFont="1" applyBorder="1"/>
    <xf numFmtId="164" fontId="2" fillId="0" borderId="8" xfId="0" applyNumberFormat="1" applyFont="1" applyBorder="1"/>
    <xf numFmtId="164" fontId="6" fillId="0" borderId="9" xfId="0" applyNumberFormat="1" applyFont="1" applyBorder="1"/>
  </cellXfs>
  <cellStyles count="1">
    <cellStyle name="Normal" xfId="0" builtinId="0"/>
  </cellStyles>
  <dxfs count="2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numFmt numFmtId="164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ELC3020_50K22.1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x18tc:personList xmlns:x18tc="http://schemas.microsoft.com/office/spreadsheetml/2018/threadedcomments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49" headerRowDxfId="1" totalsRowDxfId="0" headerRowBorderDxfId="18" tableBorderDxfId="19">
  <tableColumns count="16">
    <tableColumn id="1" xr3:uid="{00000000-0010-0000-0000-000001000000}" name="Lớp" dataDxfId="17"/>
    <tableColumn id="2" xr3:uid="{00000000-0010-0000-0000-000002000000}" name="Họ và tên đệm" dataDxfId="16"/>
    <tableColumn id="3" xr3:uid="{00000000-0010-0000-0000-000003000000}" name="Tên" dataDxfId="15"/>
    <tableColumn id="4" xr3:uid="{00000000-0010-0000-0000-000004000000}" name="MSSV" dataDxfId="14"/>
    <tableColumn id="5" xr3:uid="{00000000-0010-0000-0000-000005000000}" name="Điểm danh 1" dataDxfId="13"/>
    <tableColumn id="10" xr3:uid="{00000000-0010-0000-0000-00000A000000}" name="Điểm danh 2" dataDxfId="12"/>
    <tableColumn id="6" xr3:uid="{00000000-0010-0000-0000-000006000000}" name="Kiểm tra chương 1" dataDxfId="11"/>
    <tableColumn id="8" xr3:uid="{00000000-0010-0000-0000-000008000000}" name="Kiểm tra tiền xử lý dữ liệu" dataDxfId="10"/>
    <tableColumn id="11" xr3:uid="{00000000-0010-0000-0000-00000B000000}" name="Kiểm tra data mining" dataDxfId="9"/>
    <tableColumn id="13" xr3:uid="{00000000-0010-0000-0000-00000D000000}" name="Điểm cộng" dataDxfId="8"/>
    <tableColumn id="14" xr3:uid="{0F2233AE-9DFC-4257-BBB3-213E57AE9D3E}" name="Thành phần 1" dataDxfId="7"/>
    <tableColumn id="7" xr3:uid="{00000000-0010-0000-0000-000007000000}" name="Biểu đồ nâng cao (15% TP2)" dataDxfId="6"/>
    <tableColumn id="9" xr3:uid="{00000000-0010-0000-0000-000009000000}" name="Tư duy phân tích và xây dựng dashboard (15% TP2)" dataDxfId="5"/>
    <tableColumn id="12" xr3:uid="{00000000-0010-0000-0000-00000C000000}" name="Thi giữa kỳ (70% TP2)" dataDxfId="4"/>
    <tableColumn id="16" xr3:uid="{97616766-4AA4-4479-914E-89494C39486D}" name="Điểm dư từ TP1 (x 1/3) + TP2)" dataDxfId="3">
      <calculatedColumnFormula>IF((Table_1[[#This Row],[Thành phần 1]]-10)&lt;0,0,(Table_1[[#This Row],[Thành phần 1]]-10))</calculatedColumnFormula>
    </tableColumn>
    <tableColumn id="15" xr3:uid="{63BD95AE-4922-4C42-BB32-37DBCB52C0EA}" name="Thành phần 2" dataDxfId="2">
      <calculatedColumnFormula>Table_1[[#This Row],[Biểu đồ nâng cao (15% TP2)]]*0.15+Table_1[[#This Row],[Tư duy phân tích và xây dựng dashboard (15% TP2)]]*0.15+Table_1[[#This Row],[Thi giữa kỳ (70% TP2)]]*0.7+Table_1[[#This Row],[Điểm dư từ TP1 (x 1/3) + TP2)]]/3</calculatedColumnFormula>
    </tableColumn>
  </tableColumns>
  <tableStyleInfo name="ELC3020_50K22.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pane xSplit="4" topLeftCell="E1" activePane="topRight" state="frozen"/>
      <selection pane="topRight" activeCell="O19" sqref="O19"/>
    </sheetView>
  </sheetViews>
  <sheetFormatPr defaultColWidth="14.453125" defaultRowHeight="15" customHeight="1" x14ac:dyDescent="0.35"/>
  <cols>
    <col min="1" max="1" width="9.26953125" customWidth="1"/>
    <col min="2" max="2" width="21.08984375" customWidth="1"/>
    <col min="3" max="3" width="11.7265625" customWidth="1"/>
    <col min="4" max="5" width="15" customWidth="1"/>
    <col min="6" max="6" width="13.54296875" customWidth="1"/>
    <col min="7" max="7" width="18.453125" customWidth="1"/>
    <col min="8" max="8" width="19.08984375" customWidth="1"/>
    <col min="10" max="10" width="13.54296875" customWidth="1"/>
    <col min="11" max="11" width="14.453125" style="1"/>
    <col min="12" max="12" width="18.54296875" customWidth="1"/>
    <col min="15" max="15" width="14.453125" style="4"/>
    <col min="17" max="17" width="13.54296875" style="1" customWidth="1"/>
    <col min="18" max="19" width="13.54296875" customWidth="1"/>
    <col min="20" max="38" width="8.7265625" customWidth="1"/>
  </cols>
  <sheetData>
    <row r="1" spans="1:34" ht="14.25" customHeight="1" x14ac:dyDescent="0.35">
      <c r="A1" s="5" t="s">
        <v>146</v>
      </c>
      <c r="B1" s="6" t="s">
        <v>147</v>
      </c>
      <c r="C1" s="6" t="s">
        <v>148</v>
      </c>
      <c r="D1" s="6" t="s">
        <v>134</v>
      </c>
      <c r="E1" s="6" t="s">
        <v>135</v>
      </c>
      <c r="F1" s="6" t="s">
        <v>136</v>
      </c>
      <c r="G1" s="6" t="s">
        <v>137</v>
      </c>
      <c r="H1" s="6" t="s">
        <v>138</v>
      </c>
      <c r="I1" s="6" t="s">
        <v>139</v>
      </c>
      <c r="J1" s="6" t="s">
        <v>140</v>
      </c>
      <c r="K1" s="7" t="s">
        <v>141</v>
      </c>
      <c r="L1" s="6" t="s">
        <v>142</v>
      </c>
      <c r="M1" s="8" t="s">
        <v>143</v>
      </c>
      <c r="N1" s="6" t="s">
        <v>144</v>
      </c>
      <c r="O1" s="9" t="s">
        <v>149</v>
      </c>
      <c r="P1" s="10" t="s">
        <v>145</v>
      </c>
      <c r="Q1"/>
    </row>
    <row r="2" spans="1:34" ht="14.25" customHeight="1" x14ac:dyDescent="0.35">
      <c r="A2" s="11" t="s">
        <v>0</v>
      </c>
      <c r="B2" s="12" t="s">
        <v>1</v>
      </c>
      <c r="C2" s="12" t="s">
        <v>2</v>
      </c>
      <c r="D2" s="12" t="s">
        <v>3</v>
      </c>
      <c r="E2" s="12">
        <v>10</v>
      </c>
      <c r="F2" s="12">
        <v>0</v>
      </c>
      <c r="G2" s="12">
        <v>10</v>
      </c>
      <c r="H2" s="12">
        <v>0</v>
      </c>
      <c r="I2" s="12">
        <v>0</v>
      </c>
      <c r="J2" s="12"/>
      <c r="K2" s="13">
        <f>SUM(Table_1[[#This Row],[Điểm danh 1]:[Điểm cộng]])/5</f>
        <v>4</v>
      </c>
      <c r="L2" s="12">
        <v>5.6</v>
      </c>
      <c r="M2" s="12">
        <v>8.1999999999999993</v>
      </c>
      <c r="N2" s="12"/>
      <c r="O2" s="14">
        <f>IF((Table_1[[#This Row],[Thành phần 1]]-10)&lt;0,0,(Table_1[[#This Row],[Thành phần 1]]-10))</f>
        <v>0</v>
      </c>
      <c r="P2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2.0699999999999998</v>
      </c>
      <c r="Q2"/>
    </row>
    <row r="3" spans="1:34" ht="14.25" customHeight="1" x14ac:dyDescent="0.35">
      <c r="A3" s="11" t="s">
        <v>4</v>
      </c>
      <c r="B3" s="12" t="s">
        <v>5</v>
      </c>
      <c r="C3" s="12" t="s">
        <v>6</v>
      </c>
      <c r="D3" s="12" t="s">
        <v>7</v>
      </c>
      <c r="E3" s="12">
        <v>10</v>
      </c>
      <c r="F3" s="12">
        <v>10</v>
      </c>
      <c r="G3" s="12">
        <v>10</v>
      </c>
      <c r="H3" s="12">
        <v>8.5</v>
      </c>
      <c r="I3" s="16">
        <v>8</v>
      </c>
      <c r="J3" s="12"/>
      <c r="K3" s="13">
        <f>SUM(Table_1[[#This Row],[Điểm danh 1]:[Điểm cộng]])/5</f>
        <v>9.3000000000000007</v>
      </c>
      <c r="L3" s="12">
        <v>8.3000000000000007</v>
      </c>
      <c r="M3" s="12">
        <v>8</v>
      </c>
      <c r="N3" s="12">
        <v>8.4</v>
      </c>
      <c r="O3" s="14">
        <f>IF((Table_1[[#This Row],[Thành phần 1]]-10)&lt;0,0,(Table_1[[#This Row],[Thành phần 1]]-10))</f>
        <v>0</v>
      </c>
      <c r="P3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8.3249999999999993</v>
      </c>
      <c r="Q3"/>
    </row>
    <row r="4" spans="1:34" ht="14.25" customHeight="1" x14ac:dyDescent="0.35">
      <c r="A4" s="11" t="s">
        <v>4</v>
      </c>
      <c r="B4" s="12" t="s">
        <v>8</v>
      </c>
      <c r="C4" s="12" t="s">
        <v>9</v>
      </c>
      <c r="D4" s="12" t="s">
        <v>10</v>
      </c>
      <c r="E4" s="12">
        <v>10</v>
      </c>
      <c r="F4" s="12">
        <v>10</v>
      </c>
      <c r="G4" s="12">
        <v>9.5</v>
      </c>
      <c r="H4" s="12">
        <v>6.5</v>
      </c>
      <c r="I4" s="16">
        <v>8.5</v>
      </c>
      <c r="J4" s="12"/>
      <c r="K4" s="13">
        <f>SUM(Table_1[[#This Row],[Điểm danh 1]:[Điểm cộng]])/5</f>
        <v>8.9</v>
      </c>
      <c r="L4" s="12">
        <v>8.3000000000000007</v>
      </c>
      <c r="M4" s="12">
        <v>8</v>
      </c>
      <c r="N4" s="12">
        <v>8.4</v>
      </c>
      <c r="O4" s="14">
        <f>IF((Table_1[[#This Row],[Thành phần 1]]-10)&lt;0,0,(Table_1[[#This Row],[Thành phần 1]]-10))</f>
        <v>0</v>
      </c>
      <c r="P4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8.3249999999999993</v>
      </c>
      <c r="Q4"/>
    </row>
    <row r="5" spans="1:34" ht="14.25" customHeight="1" x14ac:dyDescent="0.35">
      <c r="A5" s="11" t="s">
        <v>4</v>
      </c>
      <c r="B5" s="12" t="s">
        <v>11</v>
      </c>
      <c r="C5" s="12" t="s">
        <v>12</v>
      </c>
      <c r="D5" s="12" t="s">
        <v>13</v>
      </c>
      <c r="E5" s="12">
        <v>10</v>
      </c>
      <c r="F5" s="12">
        <v>10</v>
      </c>
      <c r="G5" s="12">
        <v>8</v>
      </c>
      <c r="H5" s="17">
        <v>9.5</v>
      </c>
      <c r="I5" s="16">
        <v>6.5</v>
      </c>
      <c r="J5" s="12"/>
      <c r="K5" s="13">
        <f>SUM(Table_1[[#This Row],[Điểm danh 1]:[Điểm cộng]])/5</f>
        <v>8.8000000000000007</v>
      </c>
      <c r="L5" s="12">
        <v>8.3000000000000007</v>
      </c>
      <c r="M5" s="12">
        <v>8</v>
      </c>
      <c r="N5" s="12">
        <v>8.4</v>
      </c>
      <c r="O5" s="14">
        <f>IF((Table_1[[#This Row],[Thành phần 1]]-10)&lt;0,0,(Table_1[[#This Row],[Thành phần 1]]-10))</f>
        <v>0</v>
      </c>
      <c r="P5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8.3249999999999993</v>
      </c>
      <c r="Q5"/>
    </row>
    <row r="6" spans="1:34" ht="14.25" customHeight="1" x14ac:dyDescent="0.35">
      <c r="A6" s="11" t="s">
        <v>4</v>
      </c>
      <c r="B6" s="12" t="s">
        <v>14</v>
      </c>
      <c r="C6" s="12" t="s">
        <v>15</v>
      </c>
      <c r="D6" s="12" t="s">
        <v>16</v>
      </c>
      <c r="E6" s="12">
        <v>10</v>
      </c>
      <c r="F6" s="12">
        <v>5</v>
      </c>
      <c r="G6" s="12">
        <v>9.5</v>
      </c>
      <c r="H6" s="12">
        <v>8.5</v>
      </c>
      <c r="I6" s="16">
        <v>8</v>
      </c>
      <c r="J6" s="12"/>
      <c r="K6" s="13">
        <f>SUM(Table_1[[#This Row],[Điểm danh 1]:[Điểm cộng]])/5</f>
        <v>8.1999999999999993</v>
      </c>
      <c r="L6" s="12">
        <v>8.3000000000000007</v>
      </c>
      <c r="M6" s="12">
        <v>8</v>
      </c>
      <c r="N6" s="12">
        <v>8.4</v>
      </c>
      <c r="O6" s="14">
        <f>IF((Table_1[[#This Row],[Thành phần 1]]-10)&lt;0,0,(Table_1[[#This Row],[Thành phần 1]]-10))</f>
        <v>0</v>
      </c>
      <c r="P6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8.3249999999999993</v>
      </c>
      <c r="Q6"/>
    </row>
    <row r="7" spans="1:34" ht="14.25" customHeight="1" x14ac:dyDescent="0.35">
      <c r="A7" s="11" t="s">
        <v>4</v>
      </c>
      <c r="B7" s="12" t="s">
        <v>17</v>
      </c>
      <c r="C7" s="12" t="s">
        <v>18</v>
      </c>
      <c r="D7" s="12" t="s">
        <v>19</v>
      </c>
      <c r="E7" s="12">
        <v>10</v>
      </c>
      <c r="F7" s="12">
        <v>10</v>
      </c>
      <c r="G7" s="12">
        <v>8</v>
      </c>
      <c r="H7" s="12">
        <v>7.6</v>
      </c>
      <c r="I7" s="16">
        <v>7.5</v>
      </c>
      <c r="J7" s="12"/>
      <c r="K7" s="13">
        <f>SUM(Table_1[[#This Row],[Điểm danh 1]:[Điểm cộng]])/5</f>
        <v>8.620000000000001</v>
      </c>
      <c r="L7" s="12">
        <v>8.3000000000000007</v>
      </c>
      <c r="M7" s="12">
        <v>8</v>
      </c>
      <c r="N7" s="12">
        <v>8.4</v>
      </c>
      <c r="O7" s="14">
        <f>IF((Table_1[[#This Row],[Thành phần 1]]-10)&lt;0,0,(Table_1[[#This Row],[Thành phần 1]]-10))</f>
        <v>0</v>
      </c>
      <c r="P7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8.3249999999999993</v>
      </c>
      <c r="Q7"/>
    </row>
    <row r="8" spans="1:34" ht="14.25" customHeight="1" x14ac:dyDescent="0.35">
      <c r="A8" s="11" t="s">
        <v>20</v>
      </c>
      <c r="B8" s="12" t="s">
        <v>21</v>
      </c>
      <c r="C8" s="12" t="s">
        <v>22</v>
      </c>
      <c r="D8" s="12" t="s">
        <v>23</v>
      </c>
      <c r="E8" s="12">
        <v>10</v>
      </c>
      <c r="F8" s="12">
        <v>10</v>
      </c>
      <c r="G8" s="12">
        <v>10</v>
      </c>
      <c r="H8" s="12">
        <v>10</v>
      </c>
      <c r="I8" s="12">
        <v>9</v>
      </c>
      <c r="J8" s="12">
        <v>4</v>
      </c>
      <c r="K8" s="13">
        <f>SUM(Table_1[[#This Row],[Điểm danh 1]:[Điểm cộng]])/5</f>
        <v>10.6</v>
      </c>
      <c r="L8" s="12">
        <v>8.6999999999999993</v>
      </c>
      <c r="M8" s="12">
        <v>9.5</v>
      </c>
      <c r="N8" s="12">
        <v>8.3000000000000007</v>
      </c>
      <c r="O8" s="14">
        <f>IF((Table_1[[#This Row],[Thành phần 1]]-10)&lt;0,0,(Table_1[[#This Row],[Thành phần 1]]-10))</f>
        <v>0.59999999999999964</v>
      </c>
      <c r="P8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8.74</v>
      </c>
      <c r="Q8"/>
    </row>
    <row r="9" spans="1:34" ht="14.25" customHeight="1" x14ac:dyDescent="0.35">
      <c r="A9" s="11" t="s">
        <v>20</v>
      </c>
      <c r="B9" s="12" t="s">
        <v>24</v>
      </c>
      <c r="C9" s="12" t="s">
        <v>22</v>
      </c>
      <c r="D9" s="12" t="s">
        <v>25</v>
      </c>
      <c r="E9" s="12">
        <v>10</v>
      </c>
      <c r="F9" s="12">
        <v>10</v>
      </c>
      <c r="G9" s="12">
        <v>9</v>
      </c>
      <c r="H9" s="12">
        <v>9</v>
      </c>
      <c r="I9" s="16">
        <v>8</v>
      </c>
      <c r="J9" s="12"/>
      <c r="K9" s="13">
        <f>SUM(Table_1[[#This Row],[Điểm danh 1]:[Điểm cộng]])/5</f>
        <v>9.1999999999999993</v>
      </c>
      <c r="L9" s="12">
        <v>8.5</v>
      </c>
      <c r="M9" s="12">
        <v>8</v>
      </c>
      <c r="N9" s="12">
        <v>8</v>
      </c>
      <c r="O9" s="14">
        <f>IF((Table_1[[#This Row],[Thành phần 1]]-10)&lt;0,0,(Table_1[[#This Row],[Thành phần 1]]-10))</f>
        <v>0</v>
      </c>
      <c r="P9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8.0749999999999993</v>
      </c>
      <c r="Q9"/>
    </row>
    <row r="10" spans="1:34" ht="14.25" customHeight="1" x14ac:dyDescent="0.35">
      <c r="A10" s="11" t="s">
        <v>20</v>
      </c>
      <c r="B10" s="12" t="s">
        <v>26</v>
      </c>
      <c r="C10" s="12" t="s">
        <v>22</v>
      </c>
      <c r="D10" s="12" t="s">
        <v>27</v>
      </c>
      <c r="E10" s="12">
        <v>10</v>
      </c>
      <c r="F10" s="12">
        <v>10</v>
      </c>
      <c r="G10" s="12">
        <v>8</v>
      </c>
      <c r="H10" s="12">
        <v>10</v>
      </c>
      <c r="I10" s="16">
        <v>8</v>
      </c>
      <c r="J10" s="12"/>
      <c r="K10" s="13">
        <f>SUM(Table_1[[#This Row],[Điểm danh 1]:[Điểm cộng]])/5</f>
        <v>9.1999999999999993</v>
      </c>
      <c r="L10" s="12">
        <v>8.1999999999999993</v>
      </c>
      <c r="M10" s="12">
        <v>8.5</v>
      </c>
      <c r="N10" s="12">
        <v>8.1</v>
      </c>
      <c r="O10" s="14">
        <f>IF((Table_1[[#This Row],[Thành phần 1]]-10)&lt;0,0,(Table_1[[#This Row],[Thành phần 1]]-10))</f>
        <v>0</v>
      </c>
      <c r="P10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8.1749999999999989</v>
      </c>
      <c r="Q10"/>
    </row>
    <row r="11" spans="1:34" ht="14" customHeight="1" x14ac:dyDescent="0.35">
      <c r="A11" s="11" t="s">
        <v>20</v>
      </c>
      <c r="B11" s="12" t="s">
        <v>28</v>
      </c>
      <c r="C11" s="12" t="s">
        <v>29</v>
      </c>
      <c r="D11" s="12" t="s">
        <v>30</v>
      </c>
      <c r="E11" s="12">
        <v>10</v>
      </c>
      <c r="F11" s="12">
        <v>10</v>
      </c>
      <c r="G11" s="12">
        <v>10</v>
      </c>
      <c r="H11" s="12">
        <v>9</v>
      </c>
      <c r="I11" s="16">
        <v>8.5</v>
      </c>
      <c r="J11" s="12">
        <v>3</v>
      </c>
      <c r="K11" s="13">
        <f>SUM(Table_1[[#This Row],[Điểm danh 1]:[Điểm cộng]])/5</f>
        <v>10.1</v>
      </c>
      <c r="L11" s="12">
        <v>8.3000000000000007</v>
      </c>
      <c r="M11" s="12">
        <v>9.3000000000000007</v>
      </c>
      <c r="N11" s="12">
        <v>8.9</v>
      </c>
      <c r="O11" s="14">
        <f>IF((Table_1[[#This Row],[Thành phần 1]]-10)&lt;0,0,(Table_1[[#This Row],[Thành phần 1]]-10))</f>
        <v>9.9999999999999645E-2</v>
      </c>
      <c r="P11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8.9033333333333324</v>
      </c>
      <c r="Q11"/>
    </row>
    <row r="12" spans="1:34" ht="14.25" customHeight="1" x14ac:dyDescent="0.35">
      <c r="A12" s="11" t="s">
        <v>20</v>
      </c>
      <c r="B12" s="12" t="s">
        <v>31</v>
      </c>
      <c r="C12" s="12" t="s">
        <v>32</v>
      </c>
      <c r="D12" s="12" t="s">
        <v>33</v>
      </c>
      <c r="E12" s="12">
        <v>10</v>
      </c>
      <c r="F12" s="12">
        <v>10</v>
      </c>
      <c r="G12" s="12">
        <v>10</v>
      </c>
      <c r="H12" s="12">
        <v>10</v>
      </c>
      <c r="I12" s="16">
        <v>9.5</v>
      </c>
      <c r="J12" s="12">
        <v>1</v>
      </c>
      <c r="K12" s="13">
        <f>SUM(Table_1[[#This Row],[Điểm danh 1]:[Điểm cộng]])/5</f>
        <v>10.1</v>
      </c>
      <c r="L12" s="12">
        <v>9</v>
      </c>
      <c r="M12" s="12">
        <v>8.6</v>
      </c>
      <c r="N12" s="12"/>
      <c r="O12" s="14">
        <f>IF((Table_1[[#This Row],[Thành phần 1]]-10)&lt;0,0,(Table_1[[#This Row],[Thành phần 1]]-10))</f>
        <v>9.9999999999999645E-2</v>
      </c>
      <c r="P12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2.6733333333333329</v>
      </c>
      <c r="Q12"/>
    </row>
    <row r="13" spans="1:34" s="3" customFormat="1" ht="14.25" customHeight="1" x14ac:dyDescent="0.35">
      <c r="A13" s="18" t="s">
        <v>20</v>
      </c>
      <c r="B13" s="19" t="s">
        <v>34</v>
      </c>
      <c r="C13" s="19" t="s">
        <v>32</v>
      </c>
      <c r="D13" s="19" t="s">
        <v>35</v>
      </c>
      <c r="E13" s="19"/>
      <c r="F13" s="20">
        <v>10</v>
      </c>
      <c r="G13" s="19"/>
      <c r="H13" s="19"/>
      <c r="I13" s="21">
        <v>9.5</v>
      </c>
      <c r="J13" s="19"/>
      <c r="K13" s="13">
        <f>AVERAGE(Table_1[[#This Row],[Điểm danh 1]:[Điểm cộng]])</f>
        <v>9.75</v>
      </c>
      <c r="L13" s="19"/>
      <c r="M13" s="20">
        <v>8.5</v>
      </c>
      <c r="N13" s="20">
        <v>8.1</v>
      </c>
      <c r="O13" s="14">
        <f>IF((Table_1[[#This Row],[Thành phần 1]]-10)&lt;0,0,(Table_1[[#This Row],[Thành phần 1]]-10))</f>
        <v>0</v>
      </c>
      <c r="P13" s="15">
        <f>Table_1[[#This Row],[Tư duy phân tích và xây dựng dashboard (15% TP2)]]*0.3+Table_1[[#This Row],[Thi giữa kỳ (70% TP2)]]*0.7</f>
        <v>8.2199999999999989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4.25" customHeight="1" x14ac:dyDescent="0.35">
      <c r="A14" s="11" t="s">
        <v>20</v>
      </c>
      <c r="B14" s="12" t="s">
        <v>36</v>
      </c>
      <c r="C14" s="12" t="s">
        <v>37</v>
      </c>
      <c r="D14" s="12" t="s">
        <v>38</v>
      </c>
      <c r="E14" s="12">
        <v>10</v>
      </c>
      <c r="F14" s="12">
        <v>0</v>
      </c>
      <c r="G14" s="12">
        <v>8.5</v>
      </c>
      <c r="H14" s="12">
        <v>6.5</v>
      </c>
      <c r="I14" s="16">
        <v>7</v>
      </c>
      <c r="J14" s="12"/>
      <c r="K14" s="13">
        <f>SUM(Table_1[[#This Row],[Điểm danh 1]:[Điểm cộng]])/5</f>
        <v>6.4</v>
      </c>
      <c r="L14" s="12">
        <v>7.5</v>
      </c>
      <c r="M14" s="12">
        <v>8.1999999999999993</v>
      </c>
      <c r="N14" s="12"/>
      <c r="O14" s="14">
        <f>IF((Table_1[[#This Row],[Thành phần 1]]-10)&lt;0,0,(Table_1[[#This Row],[Thành phần 1]]-10))</f>
        <v>0</v>
      </c>
      <c r="P14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2.3549999999999995</v>
      </c>
      <c r="Q14"/>
    </row>
    <row r="15" spans="1:34" ht="14.25" customHeight="1" x14ac:dyDescent="0.35">
      <c r="A15" s="11" t="s">
        <v>20</v>
      </c>
      <c r="B15" s="12" t="s">
        <v>39</v>
      </c>
      <c r="C15" s="12" t="s">
        <v>9</v>
      </c>
      <c r="D15" s="12" t="s">
        <v>40</v>
      </c>
      <c r="E15" s="12">
        <v>10</v>
      </c>
      <c r="F15" s="12">
        <v>0</v>
      </c>
      <c r="G15" s="12">
        <v>0</v>
      </c>
      <c r="H15" s="12">
        <v>8</v>
      </c>
      <c r="I15" s="12">
        <v>0</v>
      </c>
      <c r="J15" s="12"/>
      <c r="K15" s="13">
        <f>SUM(Table_1[[#This Row],[Điểm danh 1]:[Điểm cộng]])/5</f>
        <v>3.6</v>
      </c>
      <c r="L15" s="12">
        <v>7.5</v>
      </c>
      <c r="M15" s="12">
        <v>8.1999999999999993</v>
      </c>
      <c r="N15" s="12"/>
      <c r="O15" s="14">
        <f>IF((Table_1[[#This Row],[Thành phần 1]]-10)&lt;0,0,(Table_1[[#This Row],[Thành phần 1]]-10))</f>
        <v>0</v>
      </c>
      <c r="P15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2.3549999999999995</v>
      </c>
      <c r="Q15"/>
    </row>
    <row r="16" spans="1:34" ht="14.25" customHeight="1" x14ac:dyDescent="0.35">
      <c r="A16" s="11" t="s">
        <v>20</v>
      </c>
      <c r="B16" s="12" t="s">
        <v>41</v>
      </c>
      <c r="C16" s="12" t="s">
        <v>42</v>
      </c>
      <c r="D16" s="12" t="s">
        <v>43</v>
      </c>
      <c r="E16" s="12">
        <v>10</v>
      </c>
      <c r="F16" s="12">
        <v>10</v>
      </c>
      <c r="G16" s="12">
        <v>10</v>
      </c>
      <c r="H16" s="12">
        <v>9.5</v>
      </c>
      <c r="I16" s="16">
        <v>8.5</v>
      </c>
      <c r="J16" s="12"/>
      <c r="K16" s="13">
        <f>SUM(Table_1[[#This Row],[Điểm danh 1]:[Điểm cộng]])/5</f>
        <v>9.6</v>
      </c>
      <c r="L16" s="12">
        <v>9</v>
      </c>
      <c r="M16" s="12">
        <v>8.6</v>
      </c>
      <c r="N16" s="12"/>
      <c r="O16" s="14">
        <f>IF((Table_1[[#This Row],[Thành phần 1]]-10)&lt;0,0,(Table_1[[#This Row],[Thành phần 1]]-10))</f>
        <v>0</v>
      </c>
      <c r="P16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2.6399999999999997</v>
      </c>
      <c r="Q16"/>
    </row>
    <row r="17" spans="1:17" ht="14.25" customHeight="1" x14ac:dyDescent="0.35">
      <c r="A17" s="11" t="s">
        <v>20</v>
      </c>
      <c r="B17" s="12" t="s">
        <v>44</v>
      </c>
      <c r="C17" s="12" t="s">
        <v>45</v>
      </c>
      <c r="D17" s="12" t="s">
        <v>46</v>
      </c>
      <c r="E17" s="12">
        <v>10</v>
      </c>
      <c r="F17" s="12">
        <v>10</v>
      </c>
      <c r="G17" s="12">
        <v>10</v>
      </c>
      <c r="H17" s="12">
        <v>10</v>
      </c>
      <c r="I17" s="16">
        <v>9.5</v>
      </c>
      <c r="J17" s="12">
        <v>2</v>
      </c>
      <c r="K17" s="13">
        <f>SUM(Table_1[[#This Row],[Điểm danh 1]:[Điểm cộng]])/5</f>
        <v>10.3</v>
      </c>
      <c r="L17" s="12">
        <v>8</v>
      </c>
      <c r="M17" s="12">
        <v>8.1</v>
      </c>
      <c r="N17" s="12">
        <v>8.6</v>
      </c>
      <c r="O17" s="14">
        <f>IF((Table_1[[#This Row],[Thành phần 1]]-10)&lt;0,0,(Table_1[[#This Row],[Thành phần 1]]-10))</f>
        <v>0.30000000000000071</v>
      </c>
      <c r="P17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8.5349999999999984</v>
      </c>
      <c r="Q17"/>
    </row>
    <row r="18" spans="1:17" ht="14.25" customHeight="1" x14ac:dyDescent="0.35">
      <c r="A18" s="11" t="s">
        <v>20</v>
      </c>
      <c r="B18" s="12" t="s">
        <v>47</v>
      </c>
      <c r="C18" s="12" t="s">
        <v>48</v>
      </c>
      <c r="D18" s="12" t="s">
        <v>49</v>
      </c>
      <c r="E18" s="12">
        <v>10</v>
      </c>
      <c r="F18" s="12">
        <v>10</v>
      </c>
      <c r="G18" s="12">
        <v>10</v>
      </c>
      <c r="H18" s="12">
        <v>9.5</v>
      </c>
      <c r="I18" s="16">
        <v>7</v>
      </c>
      <c r="J18" s="12"/>
      <c r="K18" s="13">
        <f>SUM(Table_1[[#This Row],[Điểm danh 1]:[Điểm cộng]])/5</f>
        <v>9.3000000000000007</v>
      </c>
      <c r="L18" s="12">
        <v>9</v>
      </c>
      <c r="M18" s="12">
        <v>8.6</v>
      </c>
      <c r="N18" s="12"/>
      <c r="O18" s="14">
        <f>IF((Table_1[[#This Row],[Thành phần 1]]-10)&lt;0,0,(Table_1[[#This Row],[Thành phần 1]]-10))</f>
        <v>0</v>
      </c>
      <c r="P18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2.6399999999999997</v>
      </c>
      <c r="Q18"/>
    </row>
    <row r="19" spans="1:17" ht="14.25" customHeight="1" x14ac:dyDescent="0.35">
      <c r="A19" s="11" t="s">
        <v>20</v>
      </c>
      <c r="B19" s="12" t="s">
        <v>50</v>
      </c>
      <c r="C19" s="12" t="s">
        <v>51</v>
      </c>
      <c r="D19" s="12" t="s">
        <v>52</v>
      </c>
      <c r="E19" s="12">
        <v>10</v>
      </c>
      <c r="F19" s="12">
        <v>10</v>
      </c>
      <c r="G19" s="12">
        <v>10</v>
      </c>
      <c r="H19" s="12">
        <v>9.5</v>
      </c>
      <c r="I19" s="16">
        <v>7.5</v>
      </c>
      <c r="J19" s="12">
        <v>1</v>
      </c>
      <c r="K19" s="13">
        <f>SUM(Table_1[[#This Row],[Điểm danh 1]:[Điểm cộng]])/5</f>
        <v>9.6</v>
      </c>
      <c r="L19" s="12">
        <v>8.3000000000000007</v>
      </c>
      <c r="M19" s="12">
        <v>9.1</v>
      </c>
      <c r="N19" s="12">
        <v>9.1</v>
      </c>
      <c r="O19" s="14">
        <f>IF((Table_1[[#This Row],[Thành phần 1]]-10)&lt;0,0,(Table_1[[#This Row],[Thành phần 1]]-10))</f>
        <v>0</v>
      </c>
      <c r="P19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8.98</v>
      </c>
      <c r="Q19"/>
    </row>
    <row r="20" spans="1:17" ht="14.25" customHeight="1" x14ac:dyDescent="0.35">
      <c r="A20" s="11" t="s">
        <v>20</v>
      </c>
      <c r="B20" s="12" t="s">
        <v>53</v>
      </c>
      <c r="C20" s="12" t="s">
        <v>54</v>
      </c>
      <c r="D20" s="12" t="s">
        <v>55</v>
      </c>
      <c r="E20" s="12">
        <v>10</v>
      </c>
      <c r="F20" s="12">
        <v>10</v>
      </c>
      <c r="G20" s="12">
        <v>10</v>
      </c>
      <c r="H20" s="12">
        <v>9.5</v>
      </c>
      <c r="I20" s="12">
        <v>0</v>
      </c>
      <c r="J20" s="12">
        <v>1</v>
      </c>
      <c r="K20" s="13">
        <f>SUM(Table_1[[#This Row],[Điểm danh 1]:[Điểm cộng]])/5</f>
        <v>8.1</v>
      </c>
      <c r="L20" s="12">
        <v>8.3000000000000007</v>
      </c>
      <c r="M20" s="12">
        <v>9.3000000000000007</v>
      </c>
      <c r="N20" s="12">
        <v>8.9</v>
      </c>
      <c r="O20" s="14">
        <f>IF((Table_1[[#This Row],[Thành phần 1]]-10)&lt;0,0,(Table_1[[#This Row],[Thành phần 1]]-10))</f>
        <v>0</v>
      </c>
      <c r="P20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8.8699999999999992</v>
      </c>
      <c r="Q20"/>
    </row>
    <row r="21" spans="1:17" ht="14.25" customHeight="1" x14ac:dyDescent="0.35">
      <c r="A21" s="11" t="s">
        <v>20</v>
      </c>
      <c r="B21" s="12" t="s">
        <v>56</v>
      </c>
      <c r="C21" s="12" t="s">
        <v>57</v>
      </c>
      <c r="D21" s="12" t="s">
        <v>58</v>
      </c>
      <c r="E21" s="12">
        <v>10</v>
      </c>
      <c r="F21" s="12">
        <v>10</v>
      </c>
      <c r="G21" s="12">
        <v>10</v>
      </c>
      <c r="H21" s="12">
        <v>10</v>
      </c>
      <c r="I21" s="12">
        <v>0</v>
      </c>
      <c r="J21" s="12"/>
      <c r="K21" s="13">
        <f>SUM(Table_1[[#This Row],[Điểm danh 1]:[Điểm cộng]])/5</f>
        <v>8</v>
      </c>
      <c r="L21" s="12">
        <v>8.3000000000000007</v>
      </c>
      <c r="M21" s="12">
        <v>9.1</v>
      </c>
      <c r="N21" s="12">
        <v>9.1</v>
      </c>
      <c r="O21" s="14">
        <f>IF((Table_1[[#This Row],[Thành phần 1]]-10)&lt;0,0,(Table_1[[#This Row],[Thành phần 1]]-10))</f>
        <v>0</v>
      </c>
      <c r="P21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8.98</v>
      </c>
      <c r="Q21"/>
    </row>
    <row r="22" spans="1:17" ht="14.25" customHeight="1" x14ac:dyDescent="0.35">
      <c r="A22" s="11" t="s">
        <v>20</v>
      </c>
      <c r="B22" s="12" t="s">
        <v>59</v>
      </c>
      <c r="C22" s="12" t="s">
        <v>60</v>
      </c>
      <c r="D22" s="12" t="s">
        <v>61</v>
      </c>
      <c r="E22" s="12">
        <v>10</v>
      </c>
      <c r="F22" s="12">
        <v>10</v>
      </c>
      <c r="G22" s="12">
        <v>10</v>
      </c>
      <c r="H22" s="12">
        <v>10</v>
      </c>
      <c r="I22" s="16">
        <v>9.5</v>
      </c>
      <c r="J22" s="12">
        <v>5</v>
      </c>
      <c r="K22" s="13">
        <f>SUM(Table_1[[#This Row],[Điểm danh 1]:[Điểm cộng]])/5</f>
        <v>10.9</v>
      </c>
      <c r="L22" s="12">
        <v>8.6999999999999993</v>
      </c>
      <c r="M22" s="12">
        <v>9.5</v>
      </c>
      <c r="N22" s="12">
        <v>8.3000000000000007</v>
      </c>
      <c r="O22" s="14">
        <f>IF((Table_1[[#This Row],[Thành phần 1]]-10)&lt;0,0,(Table_1[[#This Row],[Thành phần 1]]-10))</f>
        <v>0.90000000000000036</v>
      </c>
      <c r="P22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8.8400000000000016</v>
      </c>
      <c r="Q22"/>
    </row>
    <row r="23" spans="1:17" ht="14.25" customHeight="1" x14ac:dyDescent="0.35">
      <c r="A23" s="11" t="s">
        <v>20</v>
      </c>
      <c r="B23" s="12" t="s">
        <v>62</v>
      </c>
      <c r="C23" s="12" t="s">
        <v>63</v>
      </c>
      <c r="D23" s="12" t="s">
        <v>64</v>
      </c>
      <c r="E23" s="12">
        <v>10</v>
      </c>
      <c r="F23" s="12">
        <v>10</v>
      </c>
      <c r="G23" s="12">
        <v>10</v>
      </c>
      <c r="H23" s="12">
        <v>10</v>
      </c>
      <c r="I23" s="16">
        <v>8</v>
      </c>
      <c r="J23" s="12">
        <v>1</v>
      </c>
      <c r="K23" s="13">
        <f>SUM(Table_1[[#This Row],[Điểm danh 1]:[Điểm cộng]])/5</f>
        <v>9.8000000000000007</v>
      </c>
      <c r="L23" s="12">
        <v>8.3000000000000007</v>
      </c>
      <c r="M23" s="12">
        <v>9.1</v>
      </c>
      <c r="N23" s="12">
        <v>9.1</v>
      </c>
      <c r="O23" s="14">
        <f>IF((Table_1[[#This Row],[Thành phần 1]]-10)&lt;0,0,(Table_1[[#This Row],[Thành phần 1]]-10))</f>
        <v>0</v>
      </c>
      <c r="P23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8.98</v>
      </c>
      <c r="Q23"/>
    </row>
    <row r="24" spans="1:17" ht="14.25" customHeight="1" x14ac:dyDescent="0.35">
      <c r="A24" s="11" t="s">
        <v>20</v>
      </c>
      <c r="B24" s="12" t="s">
        <v>65</v>
      </c>
      <c r="C24" s="12" t="s">
        <v>66</v>
      </c>
      <c r="D24" s="12" t="s">
        <v>67</v>
      </c>
      <c r="E24" s="12">
        <v>10</v>
      </c>
      <c r="F24" s="12">
        <v>10</v>
      </c>
      <c r="G24" s="12">
        <v>10</v>
      </c>
      <c r="H24" s="12">
        <v>9.5</v>
      </c>
      <c r="I24" s="16">
        <v>8.5</v>
      </c>
      <c r="J24" s="12"/>
      <c r="K24" s="13">
        <f>SUM(Table_1[[#This Row],[Điểm danh 1]:[Điểm cộng]])/5</f>
        <v>9.6</v>
      </c>
      <c r="L24" s="12">
        <v>8.5</v>
      </c>
      <c r="M24" s="12">
        <v>7.8</v>
      </c>
      <c r="N24" s="12">
        <v>8.3000000000000007</v>
      </c>
      <c r="O24" s="14">
        <f>IF((Table_1[[#This Row],[Thành phần 1]]-10)&lt;0,0,(Table_1[[#This Row],[Thành phần 1]]-10))</f>
        <v>0</v>
      </c>
      <c r="P24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8.2550000000000008</v>
      </c>
      <c r="Q24"/>
    </row>
    <row r="25" spans="1:17" ht="14.25" customHeight="1" x14ac:dyDescent="0.35">
      <c r="A25" s="11" t="s">
        <v>20</v>
      </c>
      <c r="B25" s="12" t="s">
        <v>68</v>
      </c>
      <c r="C25" s="12" t="s">
        <v>66</v>
      </c>
      <c r="D25" s="12" t="s">
        <v>69</v>
      </c>
      <c r="E25" s="12">
        <v>10</v>
      </c>
      <c r="F25" s="12">
        <v>10</v>
      </c>
      <c r="G25" s="12">
        <v>10</v>
      </c>
      <c r="H25" s="12">
        <v>9</v>
      </c>
      <c r="I25" s="16">
        <v>8</v>
      </c>
      <c r="J25" s="12">
        <v>1</v>
      </c>
      <c r="K25" s="13">
        <f>SUM(Table_1[[#This Row],[Điểm danh 1]:[Điểm cộng]])/5</f>
        <v>9.6</v>
      </c>
      <c r="L25" s="12">
        <v>8.3000000000000007</v>
      </c>
      <c r="M25" s="12">
        <v>9.3000000000000007</v>
      </c>
      <c r="N25" s="12">
        <v>8.9</v>
      </c>
      <c r="O25" s="14">
        <f>IF((Table_1[[#This Row],[Thành phần 1]]-10)&lt;0,0,(Table_1[[#This Row],[Thành phần 1]]-10))</f>
        <v>0</v>
      </c>
      <c r="P25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8.8699999999999992</v>
      </c>
      <c r="Q25"/>
    </row>
    <row r="26" spans="1:17" ht="14.25" customHeight="1" x14ac:dyDescent="0.35">
      <c r="A26" s="11" t="s">
        <v>20</v>
      </c>
      <c r="B26" s="12" t="s">
        <v>70</v>
      </c>
      <c r="C26" s="12" t="s">
        <v>71</v>
      </c>
      <c r="D26" s="12" t="s">
        <v>72</v>
      </c>
      <c r="E26" s="12">
        <v>7</v>
      </c>
      <c r="F26" s="12">
        <v>10</v>
      </c>
      <c r="G26" s="12">
        <v>8.5</v>
      </c>
      <c r="H26" s="12">
        <v>10</v>
      </c>
      <c r="I26" s="16">
        <v>9</v>
      </c>
      <c r="J26" s="12"/>
      <c r="K26" s="13">
        <f>SUM(Table_1[[#This Row],[Điểm danh 1]:[Điểm cộng]])/5</f>
        <v>8.9</v>
      </c>
      <c r="L26" s="12">
        <v>8.1999999999999993</v>
      </c>
      <c r="M26" s="12">
        <v>8.5</v>
      </c>
      <c r="N26" s="12">
        <v>8.1</v>
      </c>
      <c r="O26" s="14">
        <f>IF((Table_1[[#This Row],[Thành phần 1]]-10)&lt;0,0,(Table_1[[#This Row],[Thành phần 1]]-10))</f>
        <v>0</v>
      </c>
      <c r="P26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8.1749999999999989</v>
      </c>
      <c r="Q26"/>
    </row>
    <row r="27" spans="1:17" ht="14.25" customHeight="1" x14ac:dyDescent="0.35">
      <c r="A27" s="11" t="s">
        <v>20</v>
      </c>
      <c r="B27" s="12" t="s">
        <v>73</v>
      </c>
      <c r="C27" s="12" t="s">
        <v>71</v>
      </c>
      <c r="D27" s="12" t="s">
        <v>74</v>
      </c>
      <c r="E27" s="12">
        <v>10</v>
      </c>
      <c r="F27" s="12">
        <v>10</v>
      </c>
      <c r="G27" s="12">
        <v>7</v>
      </c>
      <c r="H27" s="12">
        <v>9.5</v>
      </c>
      <c r="I27" s="16">
        <v>9</v>
      </c>
      <c r="J27" s="12"/>
      <c r="K27" s="13">
        <f>SUM(Table_1[[#This Row],[Điểm danh 1]:[Điểm cộng]])/5</f>
        <v>9.1</v>
      </c>
      <c r="L27" s="12">
        <v>8.5</v>
      </c>
      <c r="M27" s="12">
        <v>8</v>
      </c>
      <c r="N27" s="12">
        <v>8</v>
      </c>
      <c r="O27" s="14">
        <f>IF((Table_1[[#This Row],[Thành phần 1]]-10)&lt;0,0,(Table_1[[#This Row],[Thành phần 1]]-10))</f>
        <v>0</v>
      </c>
      <c r="P27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8.0749999999999993</v>
      </c>
      <c r="Q27"/>
    </row>
    <row r="28" spans="1:17" ht="14.25" customHeight="1" x14ac:dyDescent="0.35">
      <c r="A28" s="11" t="s">
        <v>20</v>
      </c>
      <c r="B28" s="12" t="s">
        <v>75</v>
      </c>
      <c r="C28" s="12" t="s">
        <v>76</v>
      </c>
      <c r="D28" s="12" t="s">
        <v>77</v>
      </c>
      <c r="E28" s="12">
        <v>10</v>
      </c>
      <c r="F28" s="12">
        <v>10</v>
      </c>
      <c r="G28" s="12">
        <v>10</v>
      </c>
      <c r="H28" s="12">
        <v>9</v>
      </c>
      <c r="I28" s="16">
        <v>8.5</v>
      </c>
      <c r="J28" s="12">
        <v>1</v>
      </c>
      <c r="K28" s="13">
        <f>SUM(Table_1[[#This Row],[Điểm danh 1]:[Điểm cộng]])/5</f>
        <v>9.6999999999999993</v>
      </c>
      <c r="L28" s="12">
        <v>8.3000000000000007</v>
      </c>
      <c r="M28" s="12">
        <v>9.3000000000000007</v>
      </c>
      <c r="N28" s="12">
        <v>8.9</v>
      </c>
      <c r="O28" s="14">
        <f>IF((Table_1[[#This Row],[Thành phần 1]]-10)&lt;0,0,(Table_1[[#This Row],[Thành phần 1]]-10))</f>
        <v>0</v>
      </c>
      <c r="P28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8.8699999999999992</v>
      </c>
      <c r="Q28"/>
    </row>
    <row r="29" spans="1:17" ht="14.25" customHeight="1" x14ac:dyDescent="0.35">
      <c r="A29" s="11" t="s">
        <v>20</v>
      </c>
      <c r="B29" s="12" t="s">
        <v>78</v>
      </c>
      <c r="C29" s="12" t="s">
        <v>79</v>
      </c>
      <c r="D29" s="12" t="s">
        <v>80</v>
      </c>
      <c r="E29" s="12">
        <v>10</v>
      </c>
      <c r="F29" s="12">
        <v>10</v>
      </c>
      <c r="G29" s="12">
        <v>10</v>
      </c>
      <c r="H29" s="12">
        <v>10</v>
      </c>
      <c r="I29" s="16">
        <v>8.5</v>
      </c>
      <c r="J29" s="12"/>
      <c r="K29" s="13">
        <f>SUM(Table_1[[#This Row],[Điểm danh 1]:[Điểm cộng]])/5</f>
        <v>9.6999999999999993</v>
      </c>
      <c r="L29" s="12">
        <v>8</v>
      </c>
      <c r="M29" s="12">
        <v>8.1</v>
      </c>
      <c r="N29" s="12">
        <v>8.6</v>
      </c>
      <c r="O29" s="14">
        <f>IF((Table_1[[#This Row],[Thành phần 1]]-10)&lt;0,0,(Table_1[[#This Row],[Thành phần 1]]-10))</f>
        <v>0</v>
      </c>
      <c r="P29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8.4349999999999987</v>
      </c>
      <c r="Q29"/>
    </row>
    <row r="30" spans="1:17" ht="14.25" customHeight="1" x14ac:dyDescent="0.35">
      <c r="A30" s="11" t="s">
        <v>20</v>
      </c>
      <c r="B30" s="12" t="s">
        <v>81</v>
      </c>
      <c r="C30" s="12" t="s">
        <v>82</v>
      </c>
      <c r="D30" s="12" t="s">
        <v>83</v>
      </c>
      <c r="E30" s="12">
        <v>10</v>
      </c>
      <c r="F30" s="12">
        <v>10</v>
      </c>
      <c r="G30" s="12">
        <v>9</v>
      </c>
      <c r="H30" s="12">
        <v>10</v>
      </c>
      <c r="I30" s="16">
        <v>7.5</v>
      </c>
      <c r="J30" s="12"/>
      <c r="K30" s="13">
        <f>SUM(Table_1[[#This Row],[Điểm danh 1]:[Điểm cộng]])/5</f>
        <v>9.3000000000000007</v>
      </c>
      <c r="L30" s="12">
        <v>8.1999999999999993</v>
      </c>
      <c r="M30" s="12">
        <v>8.5</v>
      </c>
      <c r="N30" s="12">
        <v>8.1</v>
      </c>
      <c r="O30" s="14">
        <f>IF((Table_1[[#This Row],[Thành phần 1]]-10)&lt;0,0,(Table_1[[#This Row],[Thành phần 1]]-10))</f>
        <v>0</v>
      </c>
      <c r="P30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8.1749999999999989</v>
      </c>
      <c r="Q30"/>
    </row>
    <row r="31" spans="1:17" ht="14.25" customHeight="1" x14ac:dyDescent="0.35">
      <c r="A31" s="11" t="s">
        <v>20</v>
      </c>
      <c r="B31" s="12" t="s">
        <v>84</v>
      </c>
      <c r="C31" s="12" t="s">
        <v>82</v>
      </c>
      <c r="D31" s="12" t="s">
        <v>85</v>
      </c>
      <c r="E31" s="12">
        <v>10</v>
      </c>
      <c r="F31" s="12">
        <v>10</v>
      </c>
      <c r="G31" s="12">
        <v>10</v>
      </c>
      <c r="H31" s="12">
        <v>10</v>
      </c>
      <c r="I31" s="16">
        <v>10</v>
      </c>
      <c r="J31" s="12">
        <v>4</v>
      </c>
      <c r="K31" s="13">
        <f>SUM(Table_1[[#This Row],[Điểm danh 1]:[Điểm cộng]])/5</f>
        <v>10.8</v>
      </c>
      <c r="L31" s="12">
        <v>8.6999999999999993</v>
      </c>
      <c r="M31" s="12">
        <v>9.5</v>
      </c>
      <c r="N31" s="12">
        <v>8.3000000000000007</v>
      </c>
      <c r="O31" s="14">
        <f>IF((Table_1[[#This Row],[Thành phần 1]]-10)&lt;0,0,(Table_1[[#This Row],[Thành phần 1]]-10))</f>
        <v>0.80000000000000071</v>
      </c>
      <c r="P31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8.8066666666666684</v>
      </c>
      <c r="Q31"/>
    </row>
    <row r="32" spans="1:17" ht="14.25" customHeight="1" x14ac:dyDescent="0.35">
      <c r="A32" s="11" t="s">
        <v>20</v>
      </c>
      <c r="B32" s="12" t="s">
        <v>86</v>
      </c>
      <c r="C32" s="12" t="s">
        <v>87</v>
      </c>
      <c r="D32" s="12" t="s">
        <v>88</v>
      </c>
      <c r="E32" s="12">
        <v>10</v>
      </c>
      <c r="F32" s="12">
        <v>10</v>
      </c>
      <c r="G32" s="12">
        <v>10</v>
      </c>
      <c r="H32" s="12">
        <v>9.5</v>
      </c>
      <c r="I32" s="16">
        <v>9</v>
      </c>
      <c r="J32" s="12"/>
      <c r="K32" s="13">
        <f>SUM(Table_1[[#This Row],[Điểm danh 1]:[Điểm cộng]])/5</f>
        <v>9.6999999999999993</v>
      </c>
      <c r="L32" s="12">
        <v>8.5</v>
      </c>
      <c r="M32" s="12">
        <v>7.8</v>
      </c>
      <c r="N32" s="12">
        <v>8.3000000000000007</v>
      </c>
      <c r="O32" s="14">
        <f>IF((Table_1[[#This Row],[Thành phần 1]]-10)&lt;0,0,(Table_1[[#This Row],[Thành phần 1]]-10))</f>
        <v>0</v>
      </c>
      <c r="P32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8.2550000000000008</v>
      </c>
      <c r="Q32"/>
    </row>
    <row r="33" spans="1:17" ht="14.25" customHeight="1" x14ac:dyDescent="0.35">
      <c r="A33" s="11" t="s">
        <v>20</v>
      </c>
      <c r="B33" s="12" t="s">
        <v>89</v>
      </c>
      <c r="C33" s="12" t="s">
        <v>87</v>
      </c>
      <c r="D33" s="12" t="s">
        <v>90</v>
      </c>
      <c r="E33" s="12">
        <v>10</v>
      </c>
      <c r="F33" s="12">
        <v>10</v>
      </c>
      <c r="G33" s="12">
        <v>9.5</v>
      </c>
      <c r="H33" s="12">
        <v>10</v>
      </c>
      <c r="I33" s="16">
        <v>9</v>
      </c>
      <c r="J33" s="12">
        <v>1</v>
      </c>
      <c r="K33" s="13">
        <f>SUM(Table_1[[#This Row],[Điểm danh 1]:[Điểm cộng]])/5</f>
        <v>9.9</v>
      </c>
      <c r="L33" s="12">
        <v>8.6999999999999993</v>
      </c>
      <c r="M33" s="12">
        <v>9.5</v>
      </c>
      <c r="N33" s="12">
        <v>8.3000000000000007</v>
      </c>
      <c r="O33" s="14">
        <f>IF((Table_1[[#This Row],[Thành phần 1]]-10)&lt;0,0,(Table_1[[#This Row],[Thành phần 1]]-10))</f>
        <v>0</v>
      </c>
      <c r="P33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8.5400000000000009</v>
      </c>
      <c r="Q33"/>
    </row>
    <row r="34" spans="1:17" ht="14.25" customHeight="1" x14ac:dyDescent="0.35">
      <c r="A34" s="11" t="s">
        <v>20</v>
      </c>
      <c r="B34" s="12" t="s">
        <v>91</v>
      </c>
      <c r="C34" s="12" t="s">
        <v>92</v>
      </c>
      <c r="D34" s="12" t="s">
        <v>93</v>
      </c>
      <c r="E34" s="12">
        <v>8</v>
      </c>
      <c r="F34" s="12">
        <v>0</v>
      </c>
      <c r="G34" s="12">
        <v>7.5</v>
      </c>
      <c r="H34" s="17">
        <v>8</v>
      </c>
      <c r="I34" s="16">
        <v>7.5</v>
      </c>
      <c r="J34" s="12"/>
      <c r="K34" s="13">
        <f>SUM(Table_1[[#This Row],[Điểm danh 1]:[Điểm cộng]])/5</f>
        <v>6.2</v>
      </c>
      <c r="L34" s="12">
        <v>7.5</v>
      </c>
      <c r="M34" s="12">
        <v>8.1999999999999993</v>
      </c>
      <c r="N34" s="12"/>
      <c r="O34" s="14">
        <f>IF((Table_1[[#This Row],[Thành phần 1]]-10)&lt;0,0,(Table_1[[#This Row],[Thành phần 1]]-10))</f>
        <v>0</v>
      </c>
      <c r="P34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2.3549999999999995</v>
      </c>
      <c r="Q34"/>
    </row>
    <row r="35" spans="1:17" ht="14.25" customHeight="1" x14ac:dyDescent="0.35">
      <c r="A35" s="11" t="s">
        <v>20</v>
      </c>
      <c r="B35" s="12" t="s">
        <v>94</v>
      </c>
      <c r="C35" s="12" t="s">
        <v>92</v>
      </c>
      <c r="D35" s="12" t="s">
        <v>95</v>
      </c>
      <c r="E35" s="12">
        <v>0</v>
      </c>
      <c r="F35" s="12">
        <v>10</v>
      </c>
      <c r="G35" s="12">
        <v>10</v>
      </c>
      <c r="H35" s="12">
        <v>9.5</v>
      </c>
      <c r="I35" s="16">
        <v>9</v>
      </c>
      <c r="J35" s="12"/>
      <c r="K35" s="13">
        <f>SUM(Table_1[[#This Row],[Điểm danh 1]:[Điểm cộng]])/5</f>
        <v>7.7</v>
      </c>
      <c r="L35" s="12">
        <v>7</v>
      </c>
      <c r="M35" s="12">
        <v>9.1</v>
      </c>
      <c r="N35" s="12">
        <v>9.1</v>
      </c>
      <c r="O35" s="14">
        <f>IF((Table_1[[#This Row],[Thành phần 1]]-10)&lt;0,0,(Table_1[[#This Row],[Thành phần 1]]-10))</f>
        <v>0</v>
      </c>
      <c r="P35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8.7850000000000001</v>
      </c>
      <c r="Q35"/>
    </row>
    <row r="36" spans="1:17" ht="14.25" customHeight="1" x14ac:dyDescent="0.35">
      <c r="A36" s="11" t="s">
        <v>20</v>
      </c>
      <c r="B36" s="12" t="s">
        <v>96</v>
      </c>
      <c r="C36" s="12" t="s">
        <v>97</v>
      </c>
      <c r="D36" s="12" t="s">
        <v>98</v>
      </c>
      <c r="E36" s="12">
        <v>10</v>
      </c>
      <c r="F36" s="12">
        <v>10</v>
      </c>
      <c r="G36" s="12">
        <v>10</v>
      </c>
      <c r="H36" s="12">
        <v>10</v>
      </c>
      <c r="I36" s="16">
        <v>7.5</v>
      </c>
      <c r="J36" s="12"/>
      <c r="K36" s="13">
        <f>SUM(Table_1[[#This Row],[Điểm danh 1]:[Điểm cộng]])/5</f>
        <v>9.5</v>
      </c>
      <c r="L36" s="12">
        <v>8</v>
      </c>
      <c r="M36" s="12">
        <v>8.1</v>
      </c>
      <c r="N36" s="12">
        <v>8.6</v>
      </c>
      <c r="O36" s="14">
        <f>IF((Table_1[[#This Row],[Thành phần 1]]-10)&lt;0,0,(Table_1[[#This Row],[Thành phần 1]]-10))</f>
        <v>0</v>
      </c>
      <c r="P36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8.4349999999999987</v>
      </c>
      <c r="Q36"/>
    </row>
    <row r="37" spans="1:17" ht="14.25" customHeight="1" x14ac:dyDescent="0.35">
      <c r="A37" s="11" t="s">
        <v>20</v>
      </c>
      <c r="B37" s="12" t="s">
        <v>99</v>
      </c>
      <c r="C37" s="12" t="s">
        <v>100</v>
      </c>
      <c r="D37" s="12" t="s">
        <v>101</v>
      </c>
      <c r="E37" s="12">
        <v>10</v>
      </c>
      <c r="F37" s="12">
        <v>0</v>
      </c>
      <c r="G37" s="12">
        <v>6.5</v>
      </c>
      <c r="H37" s="12">
        <v>9</v>
      </c>
      <c r="I37" s="16">
        <v>7</v>
      </c>
      <c r="J37" s="12"/>
      <c r="K37" s="13">
        <f>SUM(Table_1[[#This Row],[Điểm danh 1]:[Điểm cộng]])/5</f>
        <v>6.5</v>
      </c>
      <c r="L37" s="12">
        <v>7.5</v>
      </c>
      <c r="M37" s="12">
        <v>8.1999999999999993</v>
      </c>
      <c r="N37" s="12"/>
      <c r="O37" s="14">
        <f>IF((Table_1[[#This Row],[Thành phần 1]]-10)&lt;0,0,(Table_1[[#This Row],[Thành phần 1]]-10))</f>
        <v>0</v>
      </c>
      <c r="P37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2.3549999999999995</v>
      </c>
      <c r="Q37"/>
    </row>
    <row r="38" spans="1:17" ht="14.25" customHeight="1" x14ac:dyDescent="0.35">
      <c r="A38" s="11" t="s">
        <v>20</v>
      </c>
      <c r="B38" s="12" t="s">
        <v>102</v>
      </c>
      <c r="C38" s="12" t="s">
        <v>100</v>
      </c>
      <c r="D38" s="12" t="s">
        <v>103</v>
      </c>
      <c r="E38" s="12">
        <v>0</v>
      </c>
      <c r="F38" s="12">
        <v>10</v>
      </c>
      <c r="G38" s="12">
        <v>9.5</v>
      </c>
      <c r="H38" s="12">
        <v>9.5</v>
      </c>
      <c r="I38" s="16">
        <v>8</v>
      </c>
      <c r="J38" s="12">
        <v>1</v>
      </c>
      <c r="K38" s="13">
        <f>SUM(Table_1[[#This Row],[Điểm danh 1]:[Điểm cộng]])/5</f>
        <v>7.6</v>
      </c>
      <c r="L38" s="12">
        <v>8</v>
      </c>
      <c r="M38" s="12">
        <v>8.1</v>
      </c>
      <c r="N38" s="12">
        <v>8.6</v>
      </c>
      <c r="O38" s="14">
        <f>IF((Table_1[[#This Row],[Thành phần 1]]-10)&lt;0,0,(Table_1[[#This Row],[Thành phần 1]]-10))</f>
        <v>0</v>
      </c>
      <c r="P38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8.4349999999999987</v>
      </c>
      <c r="Q38"/>
    </row>
    <row r="39" spans="1:17" ht="14.25" customHeight="1" x14ac:dyDescent="0.35">
      <c r="A39" s="11" t="s">
        <v>20</v>
      </c>
      <c r="B39" s="12" t="s">
        <v>104</v>
      </c>
      <c r="C39" s="12" t="s">
        <v>105</v>
      </c>
      <c r="D39" s="12" t="s">
        <v>106</v>
      </c>
      <c r="E39" s="12">
        <v>10</v>
      </c>
      <c r="F39" s="12">
        <v>10</v>
      </c>
      <c r="G39" s="12">
        <v>10</v>
      </c>
      <c r="H39" s="12">
        <v>10</v>
      </c>
      <c r="I39" s="16">
        <v>7.5</v>
      </c>
      <c r="J39" s="12"/>
      <c r="K39" s="13">
        <f>SUM(Table_1[[#This Row],[Điểm danh 1]:[Điểm cộng]])/5</f>
        <v>9.5</v>
      </c>
      <c r="L39" s="12">
        <v>8.3000000000000007</v>
      </c>
      <c r="M39" s="12">
        <v>9.1</v>
      </c>
      <c r="N39" s="12">
        <v>9.1</v>
      </c>
      <c r="O39" s="14">
        <f>IF((Table_1[[#This Row],[Thành phần 1]]-10)&lt;0,0,(Table_1[[#This Row],[Thành phần 1]]-10))</f>
        <v>0</v>
      </c>
      <c r="P39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8.98</v>
      </c>
      <c r="Q39"/>
    </row>
    <row r="40" spans="1:17" ht="14.25" customHeight="1" x14ac:dyDescent="0.35">
      <c r="A40" s="11" t="s">
        <v>20</v>
      </c>
      <c r="B40" s="12" t="s">
        <v>107</v>
      </c>
      <c r="C40" s="12" t="s">
        <v>108</v>
      </c>
      <c r="D40" s="12" t="s">
        <v>109</v>
      </c>
      <c r="E40" s="12">
        <v>10</v>
      </c>
      <c r="F40" s="12">
        <v>10</v>
      </c>
      <c r="G40" s="12">
        <v>9</v>
      </c>
      <c r="H40" s="12">
        <v>10</v>
      </c>
      <c r="I40" s="12">
        <v>0</v>
      </c>
      <c r="J40" s="12"/>
      <c r="K40" s="13">
        <f>SUM(Table_1[[#This Row],[Điểm danh 1]:[Điểm cộng]])/5</f>
        <v>7.8</v>
      </c>
      <c r="L40" s="12">
        <v>8.1999999999999993</v>
      </c>
      <c r="M40" s="12">
        <v>8.5</v>
      </c>
      <c r="N40" s="12">
        <v>8.1</v>
      </c>
      <c r="O40" s="14">
        <f>IF((Table_1[[#This Row],[Thành phần 1]]-10)&lt;0,0,(Table_1[[#This Row],[Thành phần 1]]-10))</f>
        <v>0</v>
      </c>
      <c r="P40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8.1749999999999989</v>
      </c>
      <c r="Q40"/>
    </row>
    <row r="41" spans="1:17" ht="14.25" customHeight="1" x14ac:dyDescent="0.35">
      <c r="A41" s="11" t="s">
        <v>20</v>
      </c>
      <c r="B41" s="12" t="s">
        <v>110</v>
      </c>
      <c r="C41" s="12" t="s">
        <v>108</v>
      </c>
      <c r="D41" s="12" t="s">
        <v>111</v>
      </c>
      <c r="E41" s="12">
        <v>7</v>
      </c>
      <c r="F41" s="12">
        <v>10</v>
      </c>
      <c r="G41" s="12">
        <v>8.5</v>
      </c>
      <c r="H41" s="12">
        <v>9.5</v>
      </c>
      <c r="I41" s="16">
        <v>9.5</v>
      </c>
      <c r="J41" s="12"/>
      <c r="K41" s="13">
        <f>SUM(Table_1[[#This Row],[Điểm danh 1]:[Điểm cộng]])/5</f>
        <v>8.9</v>
      </c>
      <c r="L41" s="12">
        <v>8.5</v>
      </c>
      <c r="M41" s="12">
        <v>8</v>
      </c>
      <c r="N41" s="12">
        <v>8</v>
      </c>
      <c r="O41" s="14">
        <f>IF((Table_1[[#This Row],[Thành phần 1]]-10)&lt;0,0,(Table_1[[#This Row],[Thành phần 1]]-10))</f>
        <v>0</v>
      </c>
      <c r="P41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8.0749999999999993</v>
      </c>
      <c r="Q41"/>
    </row>
    <row r="42" spans="1:17" ht="14.25" customHeight="1" x14ac:dyDescent="0.35">
      <c r="A42" s="11" t="s">
        <v>20</v>
      </c>
      <c r="B42" s="12" t="s">
        <v>112</v>
      </c>
      <c r="C42" s="12" t="s">
        <v>108</v>
      </c>
      <c r="D42" s="12" t="s">
        <v>113</v>
      </c>
      <c r="E42" s="12">
        <v>7</v>
      </c>
      <c r="F42" s="12">
        <v>10</v>
      </c>
      <c r="G42" s="12">
        <v>7.5</v>
      </c>
      <c r="H42" s="12">
        <v>9.5</v>
      </c>
      <c r="I42" s="16">
        <v>9</v>
      </c>
      <c r="J42" s="12"/>
      <c r="K42" s="13">
        <f>SUM(Table_1[[#This Row],[Điểm danh 1]:[Điểm cộng]])/5</f>
        <v>8.6</v>
      </c>
      <c r="L42" s="12">
        <v>8.5</v>
      </c>
      <c r="M42" s="12">
        <v>8</v>
      </c>
      <c r="N42" s="12">
        <v>8</v>
      </c>
      <c r="O42" s="14">
        <f>IF((Table_1[[#This Row],[Thành phần 1]]-10)&lt;0,0,(Table_1[[#This Row],[Thành phần 1]]-10))</f>
        <v>0</v>
      </c>
      <c r="P42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8.0749999999999993</v>
      </c>
      <c r="Q42"/>
    </row>
    <row r="43" spans="1:17" ht="14.25" customHeight="1" x14ac:dyDescent="0.35">
      <c r="A43" s="11" t="s">
        <v>20</v>
      </c>
      <c r="B43" s="12" t="s">
        <v>114</v>
      </c>
      <c r="C43" s="12" t="s">
        <v>115</v>
      </c>
      <c r="D43" s="12" t="s">
        <v>116</v>
      </c>
      <c r="E43" s="12">
        <v>0</v>
      </c>
      <c r="F43" s="12">
        <v>10</v>
      </c>
      <c r="G43" s="12">
        <v>10</v>
      </c>
      <c r="H43" s="12">
        <v>10</v>
      </c>
      <c r="I43" s="12">
        <v>0</v>
      </c>
      <c r="J43" s="12">
        <v>1</v>
      </c>
      <c r="K43" s="13">
        <f>SUM(Table_1[[#This Row],[Điểm danh 1]:[Điểm cộng]])/5</f>
        <v>6.2</v>
      </c>
      <c r="L43" s="12">
        <v>9</v>
      </c>
      <c r="M43" s="12">
        <v>8.6</v>
      </c>
      <c r="N43" s="12"/>
      <c r="O43" s="14">
        <f>IF((Table_1[[#This Row],[Thành phần 1]]-10)&lt;0,0,(Table_1[[#This Row],[Thành phần 1]]-10))</f>
        <v>0</v>
      </c>
      <c r="P43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2.6399999999999997</v>
      </c>
      <c r="Q43"/>
    </row>
    <row r="44" spans="1:17" ht="14.25" customHeight="1" x14ac:dyDescent="0.35">
      <c r="A44" s="11" t="s">
        <v>20</v>
      </c>
      <c r="B44" s="12" t="s">
        <v>117</v>
      </c>
      <c r="C44" s="12" t="s">
        <v>115</v>
      </c>
      <c r="D44" s="12" t="s">
        <v>118</v>
      </c>
      <c r="E44" s="12">
        <v>0</v>
      </c>
      <c r="F44" s="12">
        <v>10</v>
      </c>
      <c r="G44" s="12">
        <v>0</v>
      </c>
      <c r="H44" s="12">
        <v>7</v>
      </c>
      <c r="I44" s="16">
        <v>7.5</v>
      </c>
      <c r="J44" s="12"/>
      <c r="K44" s="13">
        <f>SUM(Table_1[[#This Row],[Điểm danh 1]:[Điểm cộng]])/5</f>
        <v>4.9000000000000004</v>
      </c>
      <c r="L44" s="12">
        <v>8.5</v>
      </c>
      <c r="M44" s="12">
        <v>7.8</v>
      </c>
      <c r="N44" s="12">
        <v>8.3000000000000007</v>
      </c>
      <c r="O44" s="14">
        <f>IF((Table_1[[#This Row],[Thành phần 1]]-10)&lt;0,0,(Table_1[[#This Row],[Thành phần 1]]-10))</f>
        <v>0</v>
      </c>
      <c r="P44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8.2550000000000008</v>
      </c>
      <c r="Q44"/>
    </row>
    <row r="45" spans="1:17" ht="14.25" customHeight="1" x14ac:dyDescent="0.35">
      <c r="A45" s="11" t="s">
        <v>20</v>
      </c>
      <c r="B45" s="12" t="s">
        <v>119</v>
      </c>
      <c r="C45" s="12" t="s">
        <v>120</v>
      </c>
      <c r="D45" s="12" t="s">
        <v>121</v>
      </c>
      <c r="E45" s="12">
        <v>0</v>
      </c>
      <c r="F45" s="12">
        <v>10</v>
      </c>
      <c r="G45" s="12">
        <v>8.5</v>
      </c>
      <c r="H45" s="12">
        <v>9</v>
      </c>
      <c r="I45" s="16">
        <v>6</v>
      </c>
      <c r="J45" s="12"/>
      <c r="K45" s="13">
        <f>SUM(Table_1[[#This Row],[Điểm danh 1]:[Điểm cộng]])/5</f>
        <v>6.7</v>
      </c>
      <c r="L45" s="12">
        <v>9</v>
      </c>
      <c r="M45" s="12">
        <v>8.6</v>
      </c>
      <c r="N45" s="12"/>
      <c r="O45" s="14">
        <f>IF((Table_1[[#This Row],[Thành phần 1]]-10)&lt;0,0,(Table_1[[#This Row],[Thành phần 1]]-10))</f>
        <v>0</v>
      </c>
      <c r="P45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2.6399999999999997</v>
      </c>
      <c r="Q45"/>
    </row>
    <row r="46" spans="1:17" ht="14.25" customHeight="1" x14ac:dyDescent="0.35">
      <c r="A46" s="11" t="s">
        <v>20</v>
      </c>
      <c r="B46" s="12" t="s">
        <v>122</v>
      </c>
      <c r="C46" s="12" t="s">
        <v>123</v>
      </c>
      <c r="D46" s="12" t="s">
        <v>124</v>
      </c>
      <c r="E46" s="12">
        <v>10</v>
      </c>
      <c r="F46" s="12">
        <v>0</v>
      </c>
      <c r="G46" s="12">
        <v>10</v>
      </c>
      <c r="H46" s="12">
        <v>10</v>
      </c>
      <c r="I46" s="16">
        <v>8</v>
      </c>
      <c r="J46" s="12">
        <v>1</v>
      </c>
      <c r="K46" s="13">
        <f>SUM(Table_1[[#This Row],[Điểm danh 1]:[Điểm cộng]])/5</f>
        <v>7.8</v>
      </c>
      <c r="L46" s="12">
        <v>5.8</v>
      </c>
      <c r="M46" s="12">
        <v>9.3000000000000007</v>
      </c>
      <c r="N46" s="12">
        <v>8.9</v>
      </c>
      <c r="O46" s="14">
        <f>IF((Table_1[[#This Row],[Thành phần 1]]-10)&lt;0,0,(Table_1[[#This Row],[Thành phần 1]]-10))</f>
        <v>0</v>
      </c>
      <c r="P46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8.4949999999999992</v>
      </c>
      <c r="Q46"/>
    </row>
    <row r="47" spans="1:17" ht="14.25" customHeight="1" x14ac:dyDescent="0.35">
      <c r="A47" s="11" t="s">
        <v>20</v>
      </c>
      <c r="B47" s="12" t="s">
        <v>125</v>
      </c>
      <c r="C47" s="12" t="s">
        <v>126</v>
      </c>
      <c r="D47" s="12" t="s">
        <v>127</v>
      </c>
      <c r="E47" s="12">
        <v>10</v>
      </c>
      <c r="F47" s="12">
        <v>10</v>
      </c>
      <c r="G47" s="12">
        <v>10</v>
      </c>
      <c r="H47" s="12">
        <v>10</v>
      </c>
      <c r="I47" s="16">
        <v>9.5</v>
      </c>
      <c r="J47" s="12">
        <v>5</v>
      </c>
      <c r="K47" s="13">
        <f>SUM(Table_1[[#This Row],[Điểm danh 1]:[Điểm cộng]])/5</f>
        <v>10.9</v>
      </c>
      <c r="L47" s="12">
        <v>8.6999999999999993</v>
      </c>
      <c r="M47" s="12">
        <v>9.5</v>
      </c>
      <c r="N47" s="12">
        <v>8.3000000000000007</v>
      </c>
      <c r="O47" s="14">
        <f>IF((Table_1[[#This Row],[Thành phần 1]]-10)&lt;0,0,(Table_1[[#This Row],[Thành phần 1]]-10))</f>
        <v>0.90000000000000036</v>
      </c>
      <c r="P47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8.8400000000000016</v>
      </c>
      <c r="Q47"/>
    </row>
    <row r="48" spans="1:17" ht="14.25" customHeight="1" x14ac:dyDescent="0.35">
      <c r="A48" s="11" t="s">
        <v>20</v>
      </c>
      <c r="B48" s="12" t="s">
        <v>128</v>
      </c>
      <c r="C48" s="12" t="s">
        <v>129</v>
      </c>
      <c r="D48" s="12" t="s">
        <v>130</v>
      </c>
      <c r="E48" s="12">
        <v>10</v>
      </c>
      <c r="F48" s="12">
        <v>10</v>
      </c>
      <c r="G48" s="12">
        <v>10</v>
      </c>
      <c r="H48" s="12">
        <v>10</v>
      </c>
      <c r="I48" s="16">
        <v>9.5</v>
      </c>
      <c r="J48" s="12">
        <v>1</v>
      </c>
      <c r="K48" s="13">
        <f>SUM(Table_1[[#This Row],[Điểm danh 1]:[Điểm cộng]])/5</f>
        <v>10.1</v>
      </c>
      <c r="L48" s="12">
        <v>8.5</v>
      </c>
      <c r="M48" s="12">
        <v>7.8</v>
      </c>
      <c r="N48" s="12">
        <v>8.3000000000000007</v>
      </c>
      <c r="O48" s="14">
        <f>IF((Table_1[[#This Row],[Thành phần 1]]-10)&lt;0,0,(Table_1[[#This Row],[Thành phần 1]]-10))</f>
        <v>9.9999999999999645E-2</v>
      </c>
      <c r="P48" s="15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8.288333333333334</v>
      </c>
      <c r="Q48"/>
    </row>
    <row r="49" spans="1:17" ht="14.25" customHeight="1" x14ac:dyDescent="0.35">
      <c r="A49" s="22" t="s">
        <v>20</v>
      </c>
      <c r="B49" s="23" t="s">
        <v>131</v>
      </c>
      <c r="C49" s="23" t="s">
        <v>132</v>
      </c>
      <c r="D49" s="23" t="s">
        <v>133</v>
      </c>
      <c r="E49" s="23">
        <v>10</v>
      </c>
      <c r="F49" s="23">
        <v>10</v>
      </c>
      <c r="G49" s="23">
        <v>8</v>
      </c>
      <c r="H49" s="23">
        <v>10</v>
      </c>
      <c r="I49" s="24">
        <v>7</v>
      </c>
      <c r="J49" s="23"/>
      <c r="K49" s="25">
        <f>SUM(Table_1[[#This Row],[Điểm danh 1]:[Điểm cộng]])/5</f>
        <v>9</v>
      </c>
      <c r="L49" s="23">
        <v>8.5</v>
      </c>
      <c r="M49" s="23">
        <v>8</v>
      </c>
      <c r="N49" s="23">
        <v>8</v>
      </c>
      <c r="O49" s="26">
        <f>IF((Table_1[[#This Row],[Thành phần 1]]-10)&lt;0,0,(Table_1[[#This Row],[Thành phần 1]]-10))</f>
        <v>0</v>
      </c>
      <c r="P49" s="27">
        <f>Table_1[[#This Row],[Biểu đồ nâng cao (15% TP2)]]*0.15+Table_1[[#This Row],[Tư duy phân tích và xây dựng dashboard (15% TP2)]]*0.15+Table_1[[#This Row],[Thi giữa kỳ (70% TP2)]]*0.7+Table_1[[#This Row],[Điểm dư từ TP1 (x 1/3) + TP2)]]/3</f>
        <v>8.0749999999999993</v>
      </c>
      <c r="Q49"/>
    </row>
    <row r="50" spans="1:17" ht="14.25" customHeight="1" x14ac:dyDescent="0.35"/>
    <row r="51" spans="1:17" ht="14.25" customHeight="1" x14ac:dyDescent="0.35"/>
    <row r="52" spans="1:17" ht="14.25" customHeight="1" x14ac:dyDescent="0.35"/>
    <row r="53" spans="1:17" ht="14.25" customHeight="1" x14ac:dyDescent="0.35"/>
    <row r="54" spans="1:17" ht="14.25" customHeight="1" x14ac:dyDescent="0.35"/>
    <row r="55" spans="1:17" ht="14.25" customHeight="1" x14ac:dyDescent="0.35"/>
    <row r="56" spans="1:17" ht="14.25" customHeight="1" x14ac:dyDescent="0.35"/>
    <row r="57" spans="1:17" ht="14.25" customHeight="1" x14ac:dyDescent="0.35"/>
    <row r="58" spans="1:17" ht="14.25" customHeight="1" x14ac:dyDescent="0.35"/>
    <row r="59" spans="1:17" ht="14.25" customHeight="1" x14ac:dyDescent="0.35"/>
    <row r="60" spans="1:17" ht="14.25" customHeight="1" x14ac:dyDescent="0.35"/>
    <row r="61" spans="1:17" ht="14.25" customHeight="1" x14ac:dyDescent="0.35"/>
    <row r="62" spans="1:17" ht="14.25" customHeight="1" x14ac:dyDescent="0.35"/>
    <row r="63" spans="1:17" ht="14.25" customHeight="1" x14ac:dyDescent="0.35"/>
    <row r="64" spans="1:1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0.75" bottom="0.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ELC3020_50K22.1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Do Hoang</cp:lastModifiedBy>
  <dcterms:modified xsi:type="dcterms:W3CDTF">2026-04-04T08:46:29Z</dcterms:modified>
</cp:coreProperties>
</file>