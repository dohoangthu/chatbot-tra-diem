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Desktop/"/>
    </mc:Choice>
  </mc:AlternateContent>
  <xr:revisionPtr revIDLastSave="239" documentId="11_FBA16D5B33E8834465BBF26FDA487EA88ACB67D7" xr6:coauthVersionLast="47" xr6:coauthVersionMax="47" xr10:uidLastSave="{A4094BC8-505A-4E5C-AD68-6FE770A748A5}"/>
  <bookViews>
    <workbookView xWindow="-110" yWindow="-110" windowWidth="19420" windowHeight="10300" xr2:uid="{00000000-000D-0000-FFFF-FFFF00000000}"/>
  </bookViews>
  <sheets>
    <sheet name="Điểm số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8" i="1" l="1" a="1"/>
  <c r="M68" i="1" s="1"/>
  <c r="M67" i="1" a="1"/>
  <c r="M67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M60" i="1" a="1"/>
  <c r="M60" i="1" s="1"/>
  <c r="M59" i="1" a="1"/>
  <c r="M59" i="1" s="1"/>
  <c r="M58" i="1" a="1"/>
  <c r="M58" i="1" s="1"/>
  <c r="M57" i="1" a="1"/>
  <c r="M57" i="1" s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<sst xmlns="http://schemas.openxmlformats.org/spreadsheetml/2006/main" count="295" uniqueCount="235">
  <si>
    <t>221122015201</t>
  </si>
  <si>
    <t>Lê Trịnh Bảo</t>
  </si>
  <si>
    <t>An</t>
  </si>
  <si>
    <t>48K15.2</t>
  </si>
  <si>
    <t>221121302202</t>
  </si>
  <si>
    <t>Nguyễn Tuấn</t>
  </si>
  <si>
    <t>Anh</t>
  </si>
  <si>
    <t>48K02.2</t>
  </si>
  <si>
    <t>221124008101</t>
  </si>
  <si>
    <t>Phạm Xuân</t>
  </si>
  <si>
    <t>Bách</t>
  </si>
  <si>
    <t>48K08.1</t>
  </si>
  <si>
    <t>221121006606</t>
  </si>
  <si>
    <t>Lương Gia</t>
  </si>
  <si>
    <t>Bảo</t>
  </si>
  <si>
    <t>48K06.6</t>
  </si>
  <si>
    <t>241121006604</t>
  </si>
  <si>
    <t>Nguyễn Bảo</t>
  </si>
  <si>
    <t>Châu</t>
  </si>
  <si>
    <t>50K06.6</t>
  </si>
  <si>
    <t>221121325307</t>
  </si>
  <si>
    <t>Hoàng Văn</t>
  </si>
  <si>
    <t>Cường</t>
  </si>
  <si>
    <t>48K25.3</t>
  </si>
  <si>
    <t>211124022208</t>
  </si>
  <si>
    <t>Ngô Thị Xuân</t>
  </si>
  <si>
    <t>Diễm</t>
  </si>
  <si>
    <t>47K22.2</t>
  </si>
  <si>
    <t>231124022105</t>
  </si>
  <si>
    <t>Đoàn Tiến</t>
  </si>
  <si>
    <t>Dũng</t>
  </si>
  <si>
    <t>49K22.1</t>
  </si>
  <si>
    <t>221121302209</t>
  </si>
  <si>
    <t>Lưu Thị Thu</t>
  </si>
  <si>
    <t>Hà</t>
  </si>
  <si>
    <t>231124022107</t>
  </si>
  <si>
    <t>Nguyễn Lê Ngọc</t>
  </si>
  <si>
    <t>Hải</t>
  </si>
  <si>
    <t>221121330114</t>
  </si>
  <si>
    <t>Trần Quang Ngọc</t>
  </si>
  <si>
    <t>48K30</t>
  </si>
  <si>
    <t>221121006412</t>
  </si>
  <si>
    <t>Trần Nguyễn Gia</t>
  </si>
  <si>
    <t>Hân</t>
  </si>
  <si>
    <t>48K06.4</t>
  </si>
  <si>
    <t>231124022110</t>
  </si>
  <si>
    <t>Trần Đình Phước</t>
  </si>
  <si>
    <t>Hưng</t>
  </si>
  <si>
    <t>231121302116</t>
  </si>
  <si>
    <t>Trần Thế</t>
  </si>
  <si>
    <t>Hùng</t>
  </si>
  <si>
    <t>49K02</t>
  </si>
  <si>
    <t>221121302213</t>
  </si>
  <si>
    <t>Đào Trung</t>
  </si>
  <si>
    <t>Kiên</t>
  </si>
  <si>
    <t>231124022415</t>
  </si>
  <si>
    <t>Hồ Mai</t>
  </si>
  <si>
    <t>Lan</t>
  </si>
  <si>
    <t>49K22.4</t>
  </si>
  <si>
    <t>211121006425</t>
  </si>
  <si>
    <t>Đinh Thị Mai</t>
  </si>
  <si>
    <t>Linh</t>
  </si>
  <si>
    <t>47K06.4</t>
  </si>
  <si>
    <t>231121330224</t>
  </si>
  <si>
    <t>Phạm Mai</t>
  </si>
  <si>
    <t>49K30.2</t>
  </si>
  <si>
    <t>231121407220</t>
  </si>
  <si>
    <t>Trần Hoàng</t>
  </si>
  <si>
    <t>Long</t>
  </si>
  <si>
    <t>49K07.2</t>
  </si>
  <si>
    <t>231123098109</t>
  </si>
  <si>
    <t>Đỗ Hoàng</t>
  </si>
  <si>
    <t>Lực</t>
  </si>
  <si>
    <t>49K31-E</t>
  </si>
  <si>
    <t>211121006327</t>
  </si>
  <si>
    <t>TrầN Thị</t>
  </si>
  <si>
    <t>Lương</t>
  </si>
  <si>
    <t>47K06.3</t>
  </si>
  <si>
    <t>221121325332</t>
  </si>
  <si>
    <t>Huỳnh Lê Thảo</t>
  </si>
  <si>
    <t>Nguyên</t>
  </si>
  <si>
    <t>231121330230</t>
  </si>
  <si>
    <t>Lê Trung</t>
  </si>
  <si>
    <t>Nhật</t>
  </si>
  <si>
    <t>221121330138</t>
  </si>
  <si>
    <t>Bùi Yến</t>
  </si>
  <si>
    <t>Nhi</t>
  </si>
  <si>
    <t>231124022428</t>
  </si>
  <si>
    <t>Nguyễn Thị Quỳnh</t>
  </si>
  <si>
    <t>211124022127</t>
  </si>
  <si>
    <t>Nguyễn Thị Yến</t>
  </si>
  <si>
    <t>47K22.1</t>
  </si>
  <si>
    <t>221124022234</t>
  </si>
  <si>
    <t>Như</t>
  </si>
  <si>
    <t>48K22.2</t>
  </si>
  <si>
    <t>211124022338</t>
  </si>
  <si>
    <t>Trương Hồng</t>
  </si>
  <si>
    <t>Phi</t>
  </si>
  <si>
    <t>47K22.3</t>
  </si>
  <si>
    <t>221121330143</t>
  </si>
  <si>
    <t>Lê Thị Ngọc</t>
  </si>
  <si>
    <t>Quyên</t>
  </si>
  <si>
    <t>231121302150</t>
  </si>
  <si>
    <t>Trần Tấn</t>
  </si>
  <si>
    <t>Tài</t>
  </si>
  <si>
    <t>221121302228</t>
  </si>
  <si>
    <t>Hoàng Đăng</t>
  </si>
  <si>
    <t>Tân</t>
  </si>
  <si>
    <t>231124022433</t>
  </si>
  <si>
    <t>Kiều Thị Thu</t>
  </si>
  <si>
    <t>Thanh</t>
  </si>
  <si>
    <t>221121325355</t>
  </si>
  <si>
    <t>Lê Quốc</t>
  </si>
  <si>
    <t>Toàn</t>
  </si>
  <si>
    <t>231121330243</t>
  </si>
  <si>
    <t>Nguyễn Quốc</t>
  </si>
  <si>
    <t>Toản</t>
  </si>
  <si>
    <t>221121330161</t>
  </si>
  <si>
    <t>Trần Thị Thu</t>
  </si>
  <si>
    <t>Trang</t>
  </si>
  <si>
    <t>221121330167</t>
  </si>
  <si>
    <t>Nguyễn Phương Cẩm</t>
  </si>
  <si>
    <t>Tú</t>
  </si>
  <si>
    <t>221121325461</t>
  </si>
  <si>
    <t>Hà Như</t>
  </si>
  <si>
    <t>Tuấn</t>
  </si>
  <si>
    <t>48K25.4</t>
  </si>
  <si>
    <t>231124022441</t>
  </si>
  <si>
    <t>Phạm Phương</t>
  </si>
  <si>
    <t>Uyên</t>
  </si>
  <si>
    <t>231123012127</t>
  </si>
  <si>
    <t>Võ Thị Ngọc</t>
  </si>
  <si>
    <t>Uyển</t>
  </si>
  <si>
    <t>49K12</t>
  </si>
  <si>
    <t>221121330168</t>
  </si>
  <si>
    <t>Võ Thị Thanh</t>
  </si>
  <si>
    <t>Vân</t>
  </si>
  <si>
    <t>MSV</t>
  </si>
  <si>
    <t>8.6</t>
  </si>
  <si>
    <t>8.5</t>
  </si>
  <si>
    <t>8</t>
  </si>
  <si>
    <t>Ho_va_ten_dem</t>
  </si>
  <si>
    <t>Ten</t>
  </si>
  <si>
    <t>Lop</t>
  </si>
  <si>
    <t>Laptop_THPT</t>
  </si>
  <si>
    <t>Tu_duy_Dashboard</t>
  </si>
  <si>
    <t>Tien_xu_ly_du_lieu</t>
  </si>
  <si>
    <t>Data_mining</t>
  </si>
  <si>
    <t>Bieu_do_nang_cao</t>
  </si>
  <si>
    <t>Chuong1</t>
  </si>
  <si>
    <t>Diem_danh</t>
  </si>
  <si>
    <t>Diem_cong</t>
  </si>
  <si>
    <t>Diem_qua_trinh</t>
  </si>
  <si>
    <t>Diem_giua_ky</t>
  </si>
  <si>
    <t>231121006203</t>
  </si>
  <si>
    <t>Nguyễn Thị Kim</t>
  </si>
  <si>
    <t>49K06.2</t>
  </si>
  <si>
    <t>221121407203</t>
  </si>
  <si>
    <t>Trần Nguyễn Quỳnh</t>
  </si>
  <si>
    <t>48K07.2</t>
  </si>
  <si>
    <t>221121006506</t>
  </si>
  <si>
    <t>Nguyễn Gia</t>
  </si>
  <si>
    <t>48K06.5</t>
  </si>
  <si>
    <t>221124022353</t>
  </si>
  <si>
    <t>Phongsavanh</t>
  </si>
  <si>
    <t>Bounthavong</t>
  </si>
  <si>
    <t>48K22.3</t>
  </si>
  <si>
    <t>231121325204</t>
  </si>
  <si>
    <t>Nguyễn Đại Đức</t>
  </si>
  <si>
    <t>Đạt</t>
  </si>
  <si>
    <t>49K25.2</t>
  </si>
  <si>
    <t>221122015214</t>
  </si>
  <si>
    <t>Phạm Thuý</t>
  </si>
  <si>
    <t>Hằng</t>
  </si>
  <si>
    <t>221121006413</t>
  </si>
  <si>
    <t>Phạm Thị Mỹ</t>
  </si>
  <si>
    <t>Hạnh</t>
  </si>
  <si>
    <t>231124022311</t>
  </si>
  <si>
    <t>Trương Thị Kiều</t>
  </si>
  <si>
    <t>49K22.3</t>
  </si>
  <si>
    <t>231121407112</t>
  </si>
  <si>
    <t>Phạm Thanh</t>
  </si>
  <si>
    <t>Hào</t>
  </si>
  <si>
    <t>49K07.1</t>
  </si>
  <si>
    <t>231124022312</t>
  </si>
  <si>
    <t>Nguyễn Thị Ngọc</t>
  </si>
  <si>
    <t>Hoài</t>
  </si>
  <si>
    <t>221121006422</t>
  </si>
  <si>
    <t>Hoàng Diệu</t>
  </si>
  <si>
    <t>211124022324</t>
  </si>
  <si>
    <t>Trần Trúc</t>
  </si>
  <si>
    <t>241121325121</t>
  </si>
  <si>
    <t>Võ Đào Thành</t>
  </si>
  <si>
    <t>50K25.1</t>
  </si>
  <si>
    <t>221121407321</t>
  </si>
  <si>
    <t>Nguyễn Kim</t>
  </si>
  <si>
    <t>48K07.3</t>
  </si>
  <si>
    <t>241121325123</t>
  </si>
  <si>
    <t>Trương Lê Đan</t>
  </si>
  <si>
    <t>241121325127</t>
  </si>
  <si>
    <t>Nguyễn Thị Hồng</t>
  </si>
  <si>
    <t>Phúc</t>
  </si>
  <si>
    <t>221121325228</t>
  </si>
  <si>
    <t>Triệu Tăng</t>
  </si>
  <si>
    <t>Phước</t>
  </si>
  <si>
    <t>48K25.2</t>
  </si>
  <si>
    <t>231121330125</t>
  </si>
  <si>
    <t>Hoàng Thị Như</t>
  </si>
  <si>
    <t>Quỳnh</t>
  </si>
  <si>
    <t>49K30.1</t>
  </si>
  <si>
    <t>231121330126</t>
  </si>
  <si>
    <t>Nguyễn Thị Diễm</t>
  </si>
  <si>
    <t>221121407326</t>
  </si>
  <si>
    <t>Nguyễn Thị Mỹ</t>
  </si>
  <si>
    <t>Tâm</t>
  </si>
  <si>
    <t>231121006643</t>
  </si>
  <si>
    <t>Đào Thị</t>
  </si>
  <si>
    <t>Thủy</t>
  </si>
  <si>
    <t>49K06.6</t>
  </si>
  <si>
    <t>231121330133 - Lớp trưởng</t>
  </si>
  <si>
    <t>Ngô Thị Thùy</t>
  </si>
  <si>
    <t>Trâm</t>
  </si>
  <si>
    <t>221122015249</t>
  </si>
  <si>
    <t>Trân</t>
  </si>
  <si>
    <t>231121330134</t>
  </si>
  <si>
    <t>Trần Thị Bảo</t>
  </si>
  <si>
    <t>221121302122</t>
  </si>
  <si>
    <t>Trần Thị Tâm</t>
  </si>
  <si>
    <t>231121325461</t>
  </si>
  <si>
    <t>BOUABANE</t>
  </si>
  <si>
    <t>VATHSANA</t>
  </si>
  <si>
    <t>49K25.4</t>
  </si>
  <si>
    <t>231124022344</t>
  </si>
  <si>
    <t>Trần Ngọc Tường</t>
  </si>
  <si>
    <t>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</si>
</sst>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0" xfId="0" applyFill="1"/>
    <xf numFmtId="49" fontId="1" fillId="0" borderId="1" xfId="0" applyNumberFormat="1" applyFont="1" applyBorder="1"/>
    <xf numFmtId="0" fontId="0" fillId="0" borderId="1" xfId="0" applyBorder="1"/>
    <xf numFmtId="49" fontId="1" fillId="3" borderId="1" xfId="0" applyNumberFormat="1" applyFont="1" applyFill="1" applyBorder="1"/>
    <xf numFmtId="49" fontId="2" fillId="3" borderId="1" xfId="0" applyNumberFormat="1" applyFont="1" applyFill="1" applyBorder="1"/>
    <xf numFmtId="49" fontId="1" fillId="2" borderId="1" xfId="0" applyNumberFormat="1" applyFont="1" applyFill="1" applyBorder="1"/>
    <xf numFmtId="49" fontId="2" fillId="0" borderId="1" xfId="0" applyNumberFormat="1" applyFont="1" applyBorder="1"/>
    <xf numFmtId="164" fontId="0" fillId="0" borderId="1" xfId="0" applyNumberFormat="1" applyBorder="1"/>
    <xf numFmtId="165" fontId="1" fillId="0" borderId="1" xfId="0" applyNumberFormat="1" applyFont="1" applyBorder="1"/>
    <xf numFmtId="165" fontId="1" fillId="3" borderId="1" xfId="0" applyNumberFormat="1" applyFont="1" applyFill="1" applyBorder="1"/>
    <xf numFmtId="165" fontId="1" fillId="2" borderId="1" xfId="0" applyNumberFormat="1" applyFont="1" applyFill="1" applyBorder="1"/>
    <xf numFmtId="165" fontId="2" fillId="0" borderId="1" xfId="0" applyNumberFormat="1" applyFont="1" applyBorder="1"/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0" fillId="0" borderId="2" xfId="0" applyBorder="1"/>
    <xf numFmtId="164" fontId="0" fillId="0" borderId="2" xfId="0" applyNumberFormat="1" applyBorder="1"/>
    <xf numFmtId="164" fontId="2" fillId="0" borderId="1" xfId="0" applyNumberFormat="1" applyFont="1" applyBorder="1" applyAlignment="1">
      <alignment vertical="center"/>
    </xf>
    <xf numFmtId="0" fontId="0" fillId="2" borderId="0" xfId="0" applyFill="1"/>
    <xf numFmtId="165" fontId="0" fillId="2" borderId="1" xfId="0" applyNumberFormat="1" applyFill="1" applyBorder="1"/>
    <xf numFmtId="165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/>
    <xf numFmtId="165" fontId="0" fillId="3" borderId="1" xfId="0" applyNumberFormat="1" applyFill="1" applyBorder="1"/>
    <xf numFmtId="165" fontId="3" fillId="0" borderId="1" xfId="0" applyNumberFormat="1" applyFont="1" applyBorder="1"/>
    <xf numFmtId="165" fontId="2" fillId="2" borderId="1" xfId="0" applyNumberFormat="1" applyFont="1" applyFill="1" applyBorder="1"/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1" xfId="0" applyFont="1" applyFill="1" applyBorder="1"/>
    <xf numFmtId="0" fontId="2" fillId="0" borderId="1" xfId="0" quotePrefix="1" applyFont="1" applyBorder="1"/>
    <xf numFmtId="0" fontId="2" fillId="0" borderId="1" xfId="0" applyFont="1" applyBorder="1"/>
    <xf numFmtId="0" fontId="2" fillId="3" borderId="1" xfId="0" applyFont="1" applyFill="1" applyBorder="1"/>
    <xf numFmtId="165" fontId="0" fillId="0" borderId="1" xfId="0" applyNumberFormat="1" applyBorder="1"/>
    <xf numFmtId="0" fontId="4" fillId="0" borderId="1" xfId="0" applyFont="1" applyBorder="1"/>
    <xf numFmtId="0" fontId="0" fillId="0" borderId="1" xfId="0" quotePrefix="1" applyBorder="1"/>
    <xf numFmtId="0" fontId="0" fillId="2" borderId="1" xfId="0" applyFill="1" applyBorder="1"/>
    <xf numFmtId="0" fontId="0" fillId="2" borderId="1" xfId="0" quotePrefix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B43" workbookViewId="0">
      <selection activeCell="M58" sqref="M58"/>
    </sheetView>
  </sheetViews>
  <sheetFormatPr defaultRowHeight="14.5" x14ac:dyDescent="0.35"/>
  <cols>
    <col min="1" max="1" width="17.54296875" style="3" customWidth="1"/>
    <col min="2" max="2" width="19.90625" style="3" customWidth="1"/>
    <col min="3" max="4" width="8.7265625" style="3"/>
    <col min="5" max="5" width="11.1796875" style="3" customWidth="1"/>
    <col min="6" max="6" width="8" style="3" customWidth="1"/>
    <col min="7" max="7" width="15.36328125" style="3" customWidth="1"/>
    <col min="8" max="8" width="13.26953125" style="8" customWidth="1"/>
    <col min="9" max="9" width="10.26953125" style="8" customWidth="1"/>
    <col min="10" max="10" width="15.26953125" style="8" customWidth="1"/>
    <col min="11" max="11" width="13.26953125" style="3" customWidth="1"/>
    <col min="12" max="12" width="11.453125" style="3" customWidth="1"/>
    <col min="13" max="13" width="12.453125" customWidth="1"/>
    <col min="14" max="14" width="13.36328125" customWidth="1"/>
  </cols>
  <sheetData>
    <row r="1" spans="1:14" s="18" customFormat="1" ht="25" x14ac:dyDescent="0.35">
      <c r="A1" s="13" t="s">
        <v>137</v>
      </c>
      <c r="B1" s="13" t="s">
        <v>141</v>
      </c>
      <c r="C1" s="13" t="s">
        <v>142</v>
      </c>
      <c r="D1" s="13" t="s">
        <v>143</v>
      </c>
      <c r="E1" s="19" t="s">
        <v>147</v>
      </c>
      <c r="F1" s="14" t="s">
        <v>144</v>
      </c>
      <c r="G1" s="15" t="s">
        <v>145</v>
      </c>
      <c r="H1" s="16" t="s">
        <v>146</v>
      </c>
      <c r="I1" s="16" t="s">
        <v>148</v>
      </c>
      <c r="J1" s="16" t="s">
        <v>149</v>
      </c>
      <c r="K1" s="13" t="s">
        <v>150</v>
      </c>
      <c r="L1" s="17" t="s">
        <v>151</v>
      </c>
      <c r="M1" s="22" t="s">
        <v>152</v>
      </c>
      <c r="N1" s="22" t="s">
        <v>153</v>
      </c>
    </row>
    <row r="2" spans="1:14" s="23" customFormat="1" x14ac:dyDescent="0.35">
      <c r="A2" s="6" t="s">
        <v>0</v>
      </c>
      <c r="B2" s="6" t="s">
        <v>1</v>
      </c>
      <c r="C2" s="6" t="s">
        <v>2</v>
      </c>
      <c r="D2" s="6" t="s">
        <v>3</v>
      </c>
      <c r="E2" s="11"/>
      <c r="F2" s="11"/>
      <c r="G2" s="11"/>
      <c r="H2" s="24"/>
      <c r="I2" s="24"/>
      <c r="J2" s="24">
        <v>0</v>
      </c>
      <c r="K2" s="31">
        <v>0</v>
      </c>
      <c r="L2" s="11"/>
      <c r="M2" s="24">
        <f>ROUND((SUM(E2:L2)/7),1)</f>
        <v>0</v>
      </c>
      <c r="N2" s="24">
        <v>0</v>
      </c>
    </row>
    <row r="3" spans="1:14" x14ac:dyDescent="0.35">
      <c r="A3" s="2" t="s">
        <v>4</v>
      </c>
      <c r="B3" s="7" t="s">
        <v>5</v>
      </c>
      <c r="C3" s="2" t="s">
        <v>6</v>
      </c>
      <c r="D3" s="2" t="s">
        <v>7</v>
      </c>
      <c r="E3" s="35">
        <v>7</v>
      </c>
      <c r="F3" s="25">
        <v>8</v>
      </c>
      <c r="G3" s="9">
        <v>8</v>
      </c>
      <c r="H3" s="9">
        <v>0</v>
      </c>
      <c r="I3" s="9">
        <v>9</v>
      </c>
      <c r="J3" s="9">
        <v>8</v>
      </c>
      <c r="K3" s="32">
        <v>10</v>
      </c>
      <c r="L3" s="9"/>
      <c r="M3" s="24">
        <f t="shared" ref="M3:M41" si="0">ROUND((SUM(E3:L3)/7),1)</f>
        <v>7.1</v>
      </c>
      <c r="N3" s="12">
        <v>8</v>
      </c>
    </row>
    <row r="4" spans="1:14" s="1" customFormat="1" x14ac:dyDescent="0.35">
      <c r="A4" s="4" t="s">
        <v>8</v>
      </c>
      <c r="B4" s="4" t="s">
        <v>9</v>
      </c>
      <c r="C4" s="4" t="s">
        <v>10</v>
      </c>
      <c r="D4" s="4" t="s">
        <v>11</v>
      </c>
      <c r="E4" s="36">
        <v>8.5</v>
      </c>
      <c r="F4" s="25">
        <v>8</v>
      </c>
      <c r="G4" s="10">
        <v>8.1</v>
      </c>
      <c r="H4" s="10">
        <v>8.5</v>
      </c>
      <c r="I4" s="10">
        <v>7.5</v>
      </c>
      <c r="J4" s="10">
        <v>8</v>
      </c>
      <c r="K4" s="33">
        <v>0</v>
      </c>
      <c r="L4" s="26"/>
      <c r="M4" s="24">
        <f t="shared" si="0"/>
        <v>6.9</v>
      </c>
      <c r="N4" s="28">
        <v>8</v>
      </c>
    </row>
    <row r="5" spans="1:14" x14ac:dyDescent="0.35">
      <c r="A5" s="2" t="s">
        <v>12</v>
      </c>
      <c r="B5" s="7" t="s">
        <v>13</v>
      </c>
      <c r="C5" s="2" t="s">
        <v>14</v>
      </c>
      <c r="D5" s="2" t="s">
        <v>15</v>
      </c>
      <c r="E5" s="35">
        <v>8</v>
      </c>
      <c r="F5" s="25" t="s">
        <v>138</v>
      </c>
      <c r="G5" s="9">
        <v>9.3000000000000007</v>
      </c>
      <c r="H5" s="9">
        <v>6.6</v>
      </c>
      <c r="I5" s="9">
        <v>8</v>
      </c>
      <c r="J5" s="9">
        <v>6</v>
      </c>
      <c r="K5" s="32">
        <v>10</v>
      </c>
      <c r="L5" s="9"/>
      <c r="M5" s="24">
        <f t="shared" si="0"/>
        <v>6.8</v>
      </c>
      <c r="N5" s="28">
        <v>8.1</v>
      </c>
    </row>
    <row r="6" spans="1:14" x14ac:dyDescent="0.35">
      <c r="A6" s="2" t="s">
        <v>16</v>
      </c>
      <c r="B6" s="2" t="s">
        <v>17</v>
      </c>
      <c r="C6" s="2" t="s">
        <v>18</v>
      </c>
      <c r="D6" s="2" t="s">
        <v>19</v>
      </c>
      <c r="E6" s="35">
        <v>0</v>
      </c>
      <c r="F6" s="25" t="s">
        <v>139</v>
      </c>
      <c r="G6" s="9">
        <v>7.9</v>
      </c>
      <c r="H6" s="9">
        <v>8</v>
      </c>
      <c r="I6" s="9">
        <v>9</v>
      </c>
      <c r="J6" s="9">
        <v>8</v>
      </c>
      <c r="K6" s="32">
        <v>10</v>
      </c>
      <c r="L6" s="34">
        <v>6</v>
      </c>
      <c r="M6" s="24">
        <f t="shared" si="0"/>
        <v>7</v>
      </c>
      <c r="N6" s="28">
        <v>8.8000000000000007</v>
      </c>
    </row>
    <row r="7" spans="1:14" x14ac:dyDescent="0.35">
      <c r="A7" s="2" t="s">
        <v>20</v>
      </c>
      <c r="B7" s="7" t="s">
        <v>21</v>
      </c>
      <c r="C7" s="2" t="s">
        <v>22</v>
      </c>
      <c r="D7" s="2" t="s">
        <v>23</v>
      </c>
      <c r="E7" s="35">
        <v>9</v>
      </c>
      <c r="F7" s="25">
        <v>8</v>
      </c>
      <c r="G7" s="9">
        <v>8.5</v>
      </c>
      <c r="H7" s="12">
        <v>7.5</v>
      </c>
      <c r="I7" s="12">
        <v>9.5</v>
      </c>
      <c r="J7" s="12">
        <v>9.5</v>
      </c>
      <c r="K7" s="32">
        <v>10</v>
      </c>
      <c r="L7" s="35">
        <v>1</v>
      </c>
      <c r="M7" s="24">
        <f t="shared" si="0"/>
        <v>9</v>
      </c>
      <c r="N7" s="28">
        <v>8.4</v>
      </c>
    </row>
    <row r="8" spans="1:14" x14ac:dyDescent="0.35">
      <c r="A8" s="2" t="s">
        <v>24</v>
      </c>
      <c r="B8" s="7" t="s">
        <v>25</v>
      </c>
      <c r="C8" s="2" t="s">
        <v>26</v>
      </c>
      <c r="D8" s="2" t="s">
        <v>27</v>
      </c>
      <c r="E8" s="35">
        <v>9</v>
      </c>
      <c r="F8" s="25">
        <v>8</v>
      </c>
      <c r="G8" s="9">
        <v>8.8000000000000007</v>
      </c>
      <c r="H8" s="9">
        <v>8.5</v>
      </c>
      <c r="I8" s="9">
        <v>7.7</v>
      </c>
      <c r="J8" s="9">
        <v>9.5</v>
      </c>
      <c r="K8" s="32">
        <v>10</v>
      </c>
      <c r="L8" s="34">
        <v>1</v>
      </c>
      <c r="M8" s="24">
        <f t="shared" si="0"/>
        <v>8.9</v>
      </c>
      <c r="N8" s="28">
        <v>8.5</v>
      </c>
    </row>
    <row r="9" spans="1:14" s="1" customFormat="1" x14ac:dyDescent="0.35">
      <c r="A9" s="4" t="s">
        <v>28</v>
      </c>
      <c r="B9" s="5" t="s">
        <v>29</v>
      </c>
      <c r="C9" s="4" t="s">
        <v>30</v>
      </c>
      <c r="D9" s="4" t="s">
        <v>31</v>
      </c>
      <c r="E9" s="36">
        <v>9.5</v>
      </c>
      <c r="F9" s="25">
        <v>8</v>
      </c>
      <c r="G9" s="10">
        <v>8.1</v>
      </c>
      <c r="H9" s="10">
        <v>8.5</v>
      </c>
      <c r="I9" s="10">
        <v>7.5</v>
      </c>
      <c r="J9" s="10">
        <v>10</v>
      </c>
      <c r="K9" s="33">
        <v>0</v>
      </c>
      <c r="L9" s="10"/>
      <c r="M9" s="24">
        <f t="shared" si="0"/>
        <v>7.4</v>
      </c>
      <c r="N9" s="28">
        <v>8</v>
      </c>
    </row>
    <row r="10" spans="1:14" x14ac:dyDescent="0.35">
      <c r="A10" s="2" t="s">
        <v>32</v>
      </c>
      <c r="B10" s="7" t="s">
        <v>33</v>
      </c>
      <c r="C10" s="2" t="s">
        <v>34</v>
      </c>
      <c r="D10" s="2" t="s">
        <v>7</v>
      </c>
      <c r="E10" s="35">
        <v>9</v>
      </c>
      <c r="F10" s="25">
        <v>8</v>
      </c>
      <c r="G10" s="9">
        <v>8.8000000000000007</v>
      </c>
      <c r="H10" s="9">
        <v>10</v>
      </c>
      <c r="I10" s="9">
        <v>7.7</v>
      </c>
      <c r="J10" s="9">
        <v>9</v>
      </c>
      <c r="K10" s="32">
        <v>10</v>
      </c>
      <c r="L10" s="34">
        <v>1</v>
      </c>
      <c r="M10" s="24">
        <f t="shared" si="0"/>
        <v>9.1</v>
      </c>
      <c r="N10" s="28">
        <v>8.5</v>
      </c>
    </row>
    <row r="11" spans="1:14" x14ac:dyDescent="0.35">
      <c r="A11" s="2" t="s">
        <v>35</v>
      </c>
      <c r="B11" s="7" t="s">
        <v>36</v>
      </c>
      <c r="C11" s="2" t="s">
        <v>37</v>
      </c>
      <c r="D11" s="2" t="s">
        <v>31</v>
      </c>
      <c r="E11" s="12">
        <v>0</v>
      </c>
      <c r="F11" s="25" t="s">
        <v>139</v>
      </c>
      <c r="G11" s="9">
        <v>7.9</v>
      </c>
      <c r="H11" s="9">
        <v>9.5</v>
      </c>
      <c r="I11" s="9">
        <v>9</v>
      </c>
      <c r="J11" s="9">
        <v>8.5</v>
      </c>
      <c r="K11" s="32">
        <v>10</v>
      </c>
      <c r="L11" s="34">
        <v>7</v>
      </c>
      <c r="M11" s="24">
        <f t="shared" si="0"/>
        <v>7.4</v>
      </c>
      <c r="N11" s="28">
        <v>8.8000000000000007</v>
      </c>
    </row>
    <row r="12" spans="1:14" x14ac:dyDescent="0.35">
      <c r="A12" s="2" t="s">
        <v>38</v>
      </c>
      <c r="B12" s="7" t="s">
        <v>39</v>
      </c>
      <c r="C12" s="2" t="s">
        <v>37</v>
      </c>
      <c r="D12" s="2" t="s">
        <v>40</v>
      </c>
      <c r="E12" s="35">
        <v>9</v>
      </c>
      <c r="F12" s="25" t="s">
        <v>138</v>
      </c>
      <c r="G12" s="9">
        <v>9.3000000000000007</v>
      </c>
      <c r="H12" s="9">
        <v>8.5</v>
      </c>
      <c r="I12" s="9">
        <v>8</v>
      </c>
      <c r="J12" s="9">
        <v>9</v>
      </c>
      <c r="K12" s="32">
        <v>10</v>
      </c>
      <c r="L12" s="34">
        <v>2</v>
      </c>
      <c r="M12" s="24">
        <f t="shared" si="0"/>
        <v>8</v>
      </c>
      <c r="N12" s="28">
        <v>8.1</v>
      </c>
    </row>
    <row r="13" spans="1:14" s="23" customFormat="1" x14ac:dyDescent="0.35">
      <c r="A13" s="6" t="s">
        <v>41</v>
      </c>
      <c r="B13" s="6" t="s">
        <v>42</v>
      </c>
      <c r="C13" s="6" t="s">
        <v>43</v>
      </c>
      <c r="D13" s="6" t="s">
        <v>44</v>
      </c>
      <c r="E13" s="11"/>
      <c r="F13" s="30"/>
      <c r="G13" s="11"/>
      <c r="H13" s="11"/>
      <c r="I13" s="11"/>
      <c r="J13" s="11">
        <v>0</v>
      </c>
      <c r="K13" s="31">
        <v>0</v>
      </c>
      <c r="L13" s="11"/>
      <c r="M13" s="24">
        <f t="shared" si="0"/>
        <v>0</v>
      </c>
      <c r="N13" s="24">
        <v>0</v>
      </c>
    </row>
    <row r="14" spans="1:14" s="1" customFormat="1" x14ac:dyDescent="0.35">
      <c r="A14" s="4" t="s">
        <v>45</v>
      </c>
      <c r="B14" s="4" t="s">
        <v>46</v>
      </c>
      <c r="C14" s="4" t="s">
        <v>47</v>
      </c>
      <c r="D14" s="4" t="s">
        <v>31</v>
      </c>
      <c r="E14" s="36">
        <v>0</v>
      </c>
      <c r="F14" s="25">
        <v>8</v>
      </c>
      <c r="G14" s="10">
        <v>8.1</v>
      </c>
      <c r="H14" s="10">
        <v>8.5</v>
      </c>
      <c r="I14" s="10">
        <v>7.5</v>
      </c>
      <c r="J14" s="10">
        <v>8.5</v>
      </c>
      <c r="K14" s="33">
        <v>0</v>
      </c>
      <c r="L14" s="10"/>
      <c r="M14" s="24">
        <f t="shared" si="0"/>
        <v>5.8</v>
      </c>
      <c r="N14" s="27">
        <v>8</v>
      </c>
    </row>
    <row r="15" spans="1:14" x14ac:dyDescent="0.35">
      <c r="A15" s="2" t="s">
        <v>48</v>
      </c>
      <c r="B15" s="7" t="s">
        <v>49</v>
      </c>
      <c r="C15" s="2" t="s">
        <v>50</v>
      </c>
      <c r="D15" s="2" t="s">
        <v>51</v>
      </c>
      <c r="E15" s="35">
        <v>9</v>
      </c>
      <c r="F15" s="25">
        <v>8</v>
      </c>
      <c r="G15" s="9">
        <v>8</v>
      </c>
      <c r="H15" s="9">
        <v>7</v>
      </c>
      <c r="I15" s="9">
        <v>9</v>
      </c>
      <c r="J15" s="9">
        <v>8</v>
      </c>
      <c r="K15" s="32">
        <v>10</v>
      </c>
      <c r="L15" s="9"/>
      <c r="M15" s="24">
        <f t="shared" si="0"/>
        <v>8.4</v>
      </c>
      <c r="N15" s="28">
        <v>7.8</v>
      </c>
    </row>
    <row r="16" spans="1:14" x14ac:dyDescent="0.35">
      <c r="A16" s="2" t="s">
        <v>52</v>
      </c>
      <c r="B16" s="7" t="s">
        <v>53</v>
      </c>
      <c r="C16" s="2" t="s">
        <v>54</v>
      </c>
      <c r="D16" s="2" t="s">
        <v>7</v>
      </c>
      <c r="E16" s="35">
        <v>7.5</v>
      </c>
      <c r="F16" s="25">
        <v>8</v>
      </c>
      <c r="G16" s="9">
        <v>8.8000000000000007</v>
      </c>
      <c r="H16" s="9">
        <v>7.5</v>
      </c>
      <c r="I16" s="9">
        <v>7.7</v>
      </c>
      <c r="J16" s="9">
        <v>8.5</v>
      </c>
      <c r="K16" s="32">
        <v>10</v>
      </c>
      <c r="L16" s="34">
        <v>1</v>
      </c>
      <c r="M16" s="24">
        <f t="shared" si="0"/>
        <v>8.4</v>
      </c>
      <c r="N16" s="28">
        <v>8.5</v>
      </c>
    </row>
    <row r="17" spans="1:14" x14ac:dyDescent="0.35">
      <c r="A17" s="2" t="s">
        <v>55</v>
      </c>
      <c r="B17" s="7" t="s">
        <v>56</v>
      </c>
      <c r="C17" s="2" t="s">
        <v>57</v>
      </c>
      <c r="D17" s="2" t="s">
        <v>58</v>
      </c>
      <c r="E17" s="35">
        <v>9</v>
      </c>
      <c r="F17" s="25">
        <v>8</v>
      </c>
      <c r="G17" s="9">
        <v>7.9</v>
      </c>
      <c r="H17" s="9">
        <v>9</v>
      </c>
      <c r="I17" s="9">
        <v>8</v>
      </c>
      <c r="J17" s="9">
        <v>8.5</v>
      </c>
      <c r="K17" s="32">
        <v>10</v>
      </c>
      <c r="L17" s="9"/>
      <c r="M17" s="24">
        <f t="shared" si="0"/>
        <v>8.6</v>
      </c>
      <c r="N17" s="28">
        <v>8</v>
      </c>
    </row>
    <row r="18" spans="1:14" x14ac:dyDescent="0.35">
      <c r="A18" s="2" t="s">
        <v>59</v>
      </c>
      <c r="B18" s="7" t="s">
        <v>60</v>
      </c>
      <c r="C18" s="2" t="s">
        <v>61</v>
      </c>
      <c r="D18" s="2" t="s">
        <v>62</v>
      </c>
      <c r="E18" s="35">
        <v>8</v>
      </c>
      <c r="F18" s="25" t="s">
        <v>139</v>
      </c>
      <c r="G18" s="9">
        <v>8.1999999999999993</v>
      </c>
      <c r="H18" s="9">
        <v>8.5</v>
      </c>
      <c r="I18" s="9">
        <v>7.5</v>
      </c>
      <c r="J18" s="9">
        <v>10</v>
      </c>
      <c r="K18" s="32">
        <v>10</v>
      </c>
      <c r="L18" s="9"/>
      <c r="M18" s="24">
        <f t="shared" si="0"/>
        <v>7.5</v>
      </c>
      <c r="N18" s="28">
        <v>8.4</v>
      </c>
    </row>
    <row r="19" spans="1:14" x14ac:dyDescent="0.35">
      <c r="A19" s="2" t="s">
        <v>63</v>
      </c>
      <c r="B19" s="7" t="s">
        <v>64</v>
      </c>
      <c r="C19" s="2" t="s">
        <v>61</v>
      </c>
      <c r="D19" s="2" t="s">
        <v>65</v>
      </c>
      <c r="E19" s="35">
        <v>8</v>
      </c>
      <c r="F19" s="25" t="s">
        <v>139</v>
      </c>
      <c r="G19" s="9">
        <v>7.9</v>
      </c>
      <c r="H19" s="9">
        <v>9.5</v>
      </c>
      <c r="I19" s="9">
        <v>9</v>
      </c>
      <c r="J19" s="9">
        <v>10</v>
      </c>
      <c r="K19" s="32">
        <v>10</v>
      </c>
      <c r="L19" s="34">
        <v>4</v>
      </c>
      <c r="M19" s="24">
        <f t="shared" si="0"/>
        <v>8.3000000000000007</v>
      </c>
      <c r="N19" s="28">
        <v>8.8000000000000007</v>
      </c>
    </row>
    <row r="20" spans="1:14" s="23" customFormat="1" x14ac:dyDescent="0.35">
      <c r="A20" s="6" t="s">
        <v>66</v>
      </c>
      <c r="B20" s="6" t="s">
        <v>67</v>
      </c>
      <c r="C20" s="6" t="s">
        <v>68</v>
      </c>
      <c r="D20" s="6" t="s">
        <v>69</v>
      </c>
      <c r="E20" s="11"/>
      <c r="F20" s="30"/>
      <c r="G20" s="11"/>
      <c r="H20" s="11"/>
      <c r="I20" s="11"/>
      <c r="J20" s="11">
        <v>0</v>
      </c>
      <c r="K20" s="31">
        <v>0</v>
      </c>
      <c r="L20" s="11"/>
      <c r="M20" s="24">
        <f t="shared" si="0"/>
        <v>0</v>
      </c>
      <c r="N20" s="24">
        <v>0</v>
      </c>
    </row>
    <row r="21" spans="1:14" s="23" customFormat="1" x14ac:dyDescent="0.35">
      <c r="A21" s="6" t="s">
        <v>70</v>
      </c>
      <c r="B21" s="6" t="s">
        <v>71</v>
      </c>
      <c r="C21" s="6" t="s">
        <v>72</v>
      </c>
      <c r="D21" s="6" t="s">
        <v>73</v>
      </c>
      <c r="E21" s="11"/>
      <c r="F21" s="30"/>
      <c r="G21" s="11"/>
      <c r="H21" s="11"/>
      <c r="I21" s="11"/>
      <c r="J21" s="11">
        <v>0</v>
      </c>
      <c r="K21" s="31">
        <v>0</v>
      </c>
      <c r="L21" s="11"/>
      <c r="M21" s="24">
        <f t="shared" si="0"/>
        <v>0</v>
      </c>
      <c r="N21" s="24">
        <v>0</v>
      </c>
    </row>
    <row r="22" spans="1:14" s="23" customFormat="1" x14ac:dyDescent="0.35">
      <c r="A22" s="6" t="s">
        <v>74</v>
      </c>
      <c r="B22" s="6" t="s">
        <v>75</v>
      </c>
      <c r="C22" s="6" t="s">
        <v>76</v>
      </c>
      <c r="D22" s="6" t="s">
        <v>77</v>
      </c>
      <c r="E22" s="11"/>
      <c r="F22" s="30"/>
      <c r="G22" s="11"/>
      <c r="H22" s="11"/>
      <c r="I22" s="11"/>
      <c r="J22" s="11">
        <v>0</v>
      </c>
      <c r="K22" s="31">
        <v>0</v>
      </c>
      <c r="L22" s="11"/>
      <c r="M22" s="24">
        <f t="shared" si="0"/>
        <v>0</v>
      </c>
      <c r="N22" s="24">
        <v>0</v>
      </c>
    </row>
    <row r="23" spans="1:14" x14ac:dyDescent="0.35">
      <c r="A23" s="2" t="s">
        <v>78</v>
      </c>
      <c r="B23" s="2" t="s">
        <v>79</v>
      </c>
      <c r="C23" s="2" t="s">
        <v>80</v>
      </c>
      <c r="D23" s="2" t="s">
        <v>23</v>
      </c>
      <c r="E23" s="35">
        <v>6</v>
      </c>
      <c r="F23" s="25">
        <v>8</v>
      </c>
      <c r="G23" s="9">
        <v>8.5</v>
      </c>
      <c r="H23" s="9">
        <v>3.5</v>
      </c>
      <c r="I23" s="9">
        <v>9.5</v>
      </c>
      <c r="J23" s="9">
        <v>7.5</v>
      </c>
      <c r="K23" s="32">
        <v>10</v>
      </c>
      <c r="L23" s="9"/>
      <c r="M23" s="24">
        <f t="shared" si="0"/>
        <v>7.6</v>
      </c>
      <c r="N23" s="28">
        <v>8.4</v>
      </c>
    </row>
    <row r="24" spans="1:14" x14ac:dyDescent="0.35">
      <c r="A24" s="2" t="s">
        <v>81</v>
      </c>
      <c r="B24" s="7" t="s">
        <v>82</v>
      </c>
      <c r="C24" s="2" t="s">
        <v>83</v>
      </c>
      <c r="D24" s="2" t="s">
        <v>65</v>
      </c>
      <c r="E24" s="35">
        <v>9.5</v>
      </c>
      <c r="F24" s="25" t="s">
        <v>139</v>
      </c>
      <c r="G24" s="9">
        <v>7.9</v>
      </c>
      <c r="H24" s="9">
        <v>10</v>
      </c>
      <c r="I24" s="9">
        <v>9</v>
      </c>
      <c r="J24" s="9">
        <v>10</v>
      </c>
      <c r="K24" s="32">
        <v>10</v>
      </c>
      <c r="L24" s="34">
        <v>2</v>
      </c>
      <c r="M24" s="24">
        <f t="shared" si="0"/>
        <v>8.3000000000000007</v>
      </c>
      <c r="N24" s="28">
        <v>8.8000000000000007</v>
      </c>
    </row>
    <row r="25" spans="1:14" x14ac:dyDescent="0.35">
      <c r="A25" s="2" t="s">
        <v>84</v>
      </c>
      <c r="B25" s="7" t="s">
        <v>85</v>
      </c>
      <c r="C25" s="2" t="s">
        <v>86</v>
      </c>
      <c r="D25" s="2" t="s">
        <v>40</v>
      </c>
      <c r="E25" s="35">
        <v>7.5</v>
      </c>
      <c r="F25" s="25" t="s">
        <v>138</v>
      </c>
      <c r="G25" s="9">
        <v>9.3000000000000007</v>
      </c>
      <c r="H25" s="9">
        <v>9.5</v>
      </c>
      <c r="I25" s="9">
        <v>8</v>
      </c>
      <c r="J25" s="9">
        <v>9.5</v>
      </c>
      <c r="K25" s="32">
        <v>10</v>
      </c>
      <c r="L25" s="9"/>
      <c r="M25" s="24">
        <f t="shared" si="0"/>
        <v>7.7</v>
      </c>
      <c r="N25" s="28">
        <v>8.1</v>
      </c>
    </row>
    <row r="26" spans="1:14" x14ac:dyDescent="0.35">
      <c r="A26" s="2" t="s">
        <v>87</v>
      </c>
      <c r="B26" s="7" t="s">
        <v>88</v>
      </c>
      <c r="C26" s="2" t="s">
        <v>86</v>
      </c>
      <c r="D26" s="2" t="s">
        <v>58</v>
      </c>
      <c r="E26" s="35">
        <v>7.5</v>
      </c>
      <c r="F26" s="25">
        <v>8</v>
      </c>
      <c r="G26" s="9">
        <v>7.9</v>
      </c>
      <c r="H26" s="9">
        <v>8.5</v>
      </c>
      <c r="I26" s="9">
        <v>8</v>
      </c>
      <c r="J26" s="9">
        <v>6.5</v>
      </c>
      <c r="K26" s="32">
        <v>10</v>
      </c>
      <c r="L26" s="9"/>
      <c r="M26" s="24">
        <f t="shared" si="0"/>
        <v>8.1</v>
      </c>
      <c r="N26" s="28">
        <v>8</v>
      </c>
    </row>
    <row r="27" spans="1:14" s="1" customFormat="1" x14ac:dyDescent="0.35">
      <c r="A27" s="4" t="s">
        <v>89</v>
      </c>
      <c r="B27" s="5" t="s">
        <v>90</v>
      </c>
      <c r="C27" s="4" t="s">
        <v>86</v>
      </c>
      <c r="D27" s="4" t="s">
        <v>91</v>
      </c>
      <c r="E27" s="36">
        <v>9.5</v>
      </c>
      <c r="F27" s="25">
        <v>8</v>
      </c>
      <c r="G27" s="10">
        <v>8.1</v>
      </c>
      <c r="H27" s="10">
        <v>7.5</v>
      </c>
      <c r="I27" s="10">
        <v>7.5</v>
      </c>
      <c r="J27" s="10">
        <v>0</v>
      </c>
      <c r="K27" s="33">
        <v>0</v>
      </c>
      <c r="L27" s="10"/>
      <c r="M27" s="24">
        <f t="shared" si="0"/>
        <v>5.8</v>
      </c>
      <c r="N27" s="28">
        <v>8</v>
      </c>
    </row>
    <row r="28" spans="1:14" x14ac:dyDescent="0.35">
      <c r="A28" s="2" t="s">
        <v>92</v>
      </c>
      <c r="B28" s="7" t="s">
        <v>88</v>
      </c>
      <c r="C28" s="2" t="s">
        <v>93</v>
      </c>
      <c r="D28" s="2" t="s">
        <v>94</v>
      </c>
      <c r="E28" s="35">
        <v>8.5</v>
      </c>
      <c r="F28" s="25">
        <v>8</v>
      </c>
      <c r="G28" s="9">
        <v>8.5</v>
      </c>
      <c r="H28" s="9">
        <v>10</v>
      </c>
      <c r="I28" s="9">
        <v>9.5</v>
      </c>
      <c r="J28" s="9">
        <v>7.5</v>
      </c>
      <c r="K28" s="32">
        <v>10</v>
      </c>
      <c r="L28" s="9"/>
      <c r="M28" s="24">
        <f t="shared" si="0"/>
        <v>8.9</v>
      </c>
      <c r="N28" s="28">
        <v>8.4</v>
      </c>
    </row>
    <row r="29" spans="1:14" s="23" customFormat="1" x14ac:dyDescent="0.35">
      <c r="A29" s="6" t="s">
        <v>95</v>
      </c>
      <c r="B29" s="6" t="s">
        <v>96</v>
      </c>
      <c r="C29" s="6" t="s">
        <v>97</v>
      </c>
      <c r="D29" s="6" t="s">
        <v>98</v>
      </c>
      <c r="E29" s="11"/>
      <c r="F29" s="30"/>
      <c r="G29" s="11"/>
      <c r="H29" s="11"/>
      <c r="I29" s="11"/>
      <c r="J29" s="11">
        <v>0</v>
      </c>
      <c r="K29" s="31">
        <v>0</v>
      </c>
      <c r="L29" s="11"/>
      <c r="M29" s="24">
        <f t="shared" si="0"/>
        <v>0</v>
      </c>
      <c r="N29" s="24">
        <v>0</v>
      </c>
    </row>
    <row r="30" spans="1:14" x14ac:dyDescent="0.35">
      <c r="A30" s="2" t="s">
        <v>99</v>
      </c>
      <c r="B30" s="2" t="s">
        <v>100</v>
      </c>
      <c r="C30" s="2" t="s">
        <v>101</v>
      </c>
      <c r="D30" s="2" t="s">
        <v>40</v>
      </c>
      <c r="E30" s="35">
        <v>10</v>
      </c>
      <c r="F30" s="25" t="s">
        <v>139</v>
      </c>
      <c r="G30" s="9">
        <v>8.1999999999999993</v>
      </c>
      <c r="H30" s="9">
        <v>8</v>
      </c>
      <c r="I30" s="9">
        <v>7.5</v>
      </c>
      <c r="J30" s="9">
        <v>8.5</v>
      </c>
      <c r="K30" s="32">
        <v>10</v>
      </c>
      <c r="L30" s="9"/>
      <c r="M30" s="24">
        <f t="shared" si="0"/>
        <v>7.5</v>
      </c>
      <c r="N30" s="28">
        <v>8.4</v>
      </c>
    </row>
    <row r="31" spans="1:14" x14ac:dyDescent="0.35">
      <c r="A31" s="2" t="s">
        <v>102</v>
      </c>
      <c r="B31" s="2" t="s">
        <v>103</v>
      </c>
      <c r="C31" s="2" t="s">
        <v>104</v>
      </c>
      <c r="D31" s="2" t="s">
        <v>51</v>
      </c>
      <c r="E31" s="35">
        <v>8.5</v>
      </c>
      <c r="F31" s="25">
        <v>8</v>
      </c>
      <c r="G31" s="9">
        <v>8</v>
      </c>
      <c r="H31" s="9">
        <v>8.5</v>
      </c>
      <c r="I31" s="9">
        <v>9</v>
      </c>
      <c r="J31" s="9">
        <v>8</v>
      </c>
      <c r="K31" s="32">
        <v>10</v>
      </c>
      <c r="L31" s="34">
        <v>3</v>
      </c>
      <c r="M31" s="24">
        <f t="shared" si="0"/>
        <v>9</v>
      </c>
      <c r="N31" s="12">
        <v>8</v>
      </c>
    </row>
    <row r="32" spans="1:14" x14ac:dyDescent="0.35">
      <c r="A32" s="2" t="s">
        <v>105</v>
      </c>
      <c r="B32" s="7" t="s">
        <v>106</v>
      </c>
      <c r="C32" s="2" t="s">
        <v>107</v>
      </c>
      <c r="D32" s="2" t="s">
        <v>7</v>
      </c>
      <c r="E32" s="35">
        <v>6.5</v>
      </c>
      <c r="F32" s="25">
        <v>8</v>
      </c>
      <c r="G32" s="9">
        <v>8.8000000000000007</v>
      </c>
      <c r="H32" s="9">
        <v>7.5</v>
      </c>
      <c r="I32" s="9">
        <v>7.7</v>
      </c>
      <c r="J32" s="9">
        <v>9.5</v>
      </c>
      <c r="K32" s="32">
        <v>10</v>
      </c>
      <c r="L32" s="34">
        <v>3</v>
      </c>
      <c r="M32" s="24">
        <f t="shared" si="0"/>
        <v>8.6999999999999993</v>
      </c>
      <c r="N32" s="28">
        <v>8.5</v>
      </c>
    </row>
    <row r="33" spans="1:14" x14ac:dyDescent="0.35">
      <c r="A33" s="2" t="s">
        <v>108</v>
      </c>
      <c r="B33" s="7" t="s">
        <v>109</v>
      </c>
      <c r="C33" s="2" t="s">
        <v>110</v>
      </c>
      <c r="D33" s="2" t="s">
        <v>58</v>
      </c>
      <c r="E33" s="35">
        <v>9</v>
      </c>
      <c r="F33" s="25">
        <v>8</v>
      </c>
      <c r="G33" s="9">
        <v>7.9</v>
      </c>
      <c r="H33" s="9">
        <v>8.5</v>
      </c>
      <c r="I33" s="9">
        <v>8</v>
      </c>
      <c r="J33" s="9">
        <v>8</v>
      </c>
      <c r="K33" s="32">
        <v>10</v>
      </c>
      <c r="L33" s="9"/>
      <c r="M33" s="24">
        <f t="shared" si="0"/>
        <v>8.5</v>
      </c>
      <c r="N33" s="28">
        <v>8</v>
      </c>
    </row>
    <row r="34" spans="1:14" x14ac:dyDescent="0.35">
      <c r="A34" s="2" t="s">
        <v>111</v>
      </c>
      <c r="B34" s="7" t="s">
        <v>112</v>
      </c>
      <c r="C34" s="2" t="s">
        <v>113</v>
      </c>
      <c r="D34" s="2" t="s">
        <v>23</v>
      </c>
      <c r="E34" s="35">
        <v>9.5</v>
      </c>
      <c r="F34" s="25">
        <v>8</v>
      </c>
      <c r="G34" s="9">
        <v>8.5</v>
      </c>
      <c r="H34" s="9">
        <v>8.5</v>
      </c>
      <c r="I34" s="9">
        <v>9.5</v>
      </c>
      <c r="J34" s="9">
        <v>7.5</v>
      </c>
      <c r="K34" s="32">
        <v>10</v>
      </c>
      <c r="L34" s="9"/>
      <c r="M34" s="24">
        <f t="shared" si="0"/>
        <v>8.8000000000000007</v>
      </c>
      <c r="N34" s="28">
        <v>8.4</v>
      </c>
    </row>
    <row r="35" spans="1:14" x14ac:dyDescent="0.35">
      <c r="A35" s="2" t="s">
        <v>114</v>
      </c>
      <c r="B35" s="7" t="s">
        <v>115</v>
      </c>
      <c r="C35" s="2" t="s">
        <v>116</v>
      </c>
      <c r="D35" s="2" t="s">
        <v>65</v>
      </c>
      <c r="E35" s="35">
        <v>0</v>
      </c>
      <c r="F35" s="25">
        <v>8</v>
      </c>
      <c r="G35" s="9">
        <v>8.1</v>
      </c>
      <c r="H35" s="9">
        <v>6</v>
      </c>
      <c r="I35" s="9">
        <v>7.5</v>
      </c>
      <c r="J35" s="9">
        <v>9</v>
      </c>
      <c r="K35" s="32">
        <v>10</v>
      </c>
      <c r="L35" s="9"/>
      <c r="M35" s="24">
        <f t="shared" si="0"/>
        <v>6.9</v>
      </c>
      <c r="N35" s="28">
        <v>8</v>
      </c>
    </row>
    <row r="36" spans="1:14" x14ac:dyDescent="0.35">
      <c r="A36" s="2" t="s">
        <v>117</v>
      </c>
      <c r="B36" s="2" t="s">
        <v>118</v>
      </c>
      <c r="C36" s="2" t="s">
        <v>119</v>
      </c>
      <c r="D36" s="2" t="s">
        <v>40</v>
      </c>
      <c r="E36" s="35">
        <v>7</v>
      </c>
      <c r="F36" s="25" t="s">
        <v>138</v>
      </c>
      <c r="G36" s="9">
        <v>9.3000000000000007</v>
      </c>
      <c r="H36" s="9">
        <v>10</v>
      </c>
      <c r="I36" s="9">
        <v>8</v>
      </c>
      <c r="J36" s="9">
        <v>8.5</v>
      </c>
      <c r="K36" s="32">
        <v>10</v>
      </c>
      <c r="L36" s="9"/>
      <c r="M36" s="24">
        <f t="shared" si="0"/>
        <v>7.5</v>
      </c>
      <c r="N36" s="28">
        <v>8.1</v>
      </c>
    </row>
    <row r="37" spans="1:14" x14ac:dyDescent="0.35">
      <c r="A37" s="2" t="s">
        <v>120</v>
      </c>
      <c r="B37" s="7" t="s">
        <v>121</v>
      </c>
      <c r="C37" s="2" t="s">
        <v>122</v>
      </c>
      <c r="D37" s="2" t="s">
        <v>40</v>
      </c>
      <c r="E37" s="35">
        <v>9</v>
      </c>
      <c r="F37" s="25" t="s">
        <v>139</v>
      </c>
      <c r="G37" s="9">
        <v>8.1999999999999993</v>
      </c>
      <c r="H37" s="9">
        <v>9</v>
      </c>
      <c r="I37" s="9">
        <v>7.5</v>
      </c>
      <c r="J37" s="9">
        <v>8.5</v>
      </c>
      <c r="K37" s="32">
        <v>10</v>
      </c>
      <c r="L37" s="9"/>
      <c r="M37" s="24">
        <f t="shared" si="0"/>
        <v>7.5</v>
      </c>
      <c r="N37" s="28">
        <v>8.4</v>
      </c>
    </row>
    <row r="38" spans="1:14" s="23" customFormat="1" x14ac:dyDescent="0.35">
      <c r="A38" s="6" t="s">
        <v>123</v>
      </c>
      <c r="B38" s="6" t="s">
        <v>124</v>
      </c>
      <c r="C38" s="6" t="s">
        <v>125</v>
      </c>
      <c r="D38" s="6" t="s">
        <v>126</v>
      </c>
      <c r="E38" s="11"/>
      <c r="F38" s="30"/>
      <c r="G38" s="11"/>
      <c r="H38" s="11"/>
      <c r="I38" s="11"/>
      <c r="J38" s="11">
        <v>5</v>
      </c>
      <c r="K38" s="31">
        <v>10</v>
      </c>
      <c r="L38" s="29"/>
      <c r="M38" s="24">
        <f t="shared" si="0"/>
        <v>2.1</v>
      </c>
      <c r="N38" s="24">
        <v>0</v>
      </c>
    </row>
    <row r="39" spans="1:14" x14ac:dyDescent="0.35">
      <c r="A39" s="2" t="s">
        <v>127</v>
      </c>
      <c r="B39" s="2" t="s">
        <v>128</v>
      </c>
      <c r="C39" s="2" t="s">
        <v>129</v>
      </c>
      <c r="D39" s="2" t="s">
        <v>58</v>
      </c>
      <c r="E39" s="35">
        <v>10</v>
      </c>
      <c r="F39" s="25" t="s">
        <v>140</v>
      </c>
      <c r="G39" s="9">
        <v>7.9</v>
      </c>
      <c r="H39" s="9">
        <v>8.5</v>
      </c>
      <c r="I39" s="9">
        <v>8</v>
      </c>
      <c r="J39" s="9">
        <v>8</v>
      </c>
      <c r="K39" s="32">
        <v>10</v>
      </c>
      <c r="L39" s="12"/>
      <c r="M39" s="24">
        <f t="shared" si="0"/>
        <v>7.5</v>
      </c>
      <c r="N39" s="28">
        <v>8</v>
      </c>
    </row>
    <row r="40" spans="1:14" x14ac:dyDescent="0.35">
      <c r="A40" s="2" t="s">
        <v>130</v>
      </c>
      <c r="B40" s="7" t="s">
        <v>131</v>
      </c>
      <c r="C40" s="2" t="s">
        <v>132</v>
      </c>
      <c r="D40" s="2" t="s">
        <v>133</v>
      </c>
      <c r="E40" s="35">
        <v>9.5</v>
      </c>
      <c r="F40" s="25">
        <v>8</v>
      </c>
      <c r="G40" s="9">
        <v>8</v>
      </c>
      <c r="H40" s="9">
        <v>9</v>
      </c>
      <c r="I40" s="9">
        <v>9</v>
      </c>
      <c r="J40" s="9">
        <v>9</v>
      </c>
      <c r="K40" s="32">
        <v>10</v>
      </c>
      <c r="L40" s="9"/>
      <c r="M40" s="24">
        <f t="shared" si="0"/>
        <v>8.9</v>
      </c>
      <c r="N40" s="28">
        <v>7.8</v>
      </c>
    </row>
    <row r="41" spans="1:14" x14ac:dyDescent="0.35">
      <c r="A41" s="2" t="s">
        <v>134</v>
      </c>
      <c r="B41" s="2" t="s">
        <v>135</v>
      </c>
      <c r="C41" s="2" t="s">
        <v>136</v>
      </c>
      <c r="D41" s="2" t="s">
        <v>40</v>
      </c>
      <c r="E41" s="35">
        <v>8.5</v>
      </c>
      <c r="F41" s="25" t="s">
        <v>139</v>
      </c>
      <c r="G41" s="9">
        <v>8.1999999999999993</v>
      </c>
      <c r="H41" s="9">
        <v>8.5</v>
      </c>
      <c r="I41" s="9">
        <v>7.5</v>
      </c>
      <c r="J41" s="9">
        <v>9.5</v>
      </c>
      <c r="K41" s="32">
        <v>10</v>
      </c>
      <c r="L41" s="9"/>
      <c r="M41" s="24">
        <f t="shared" si="0"/>
        <v>7.5</v>
      </c>
      <c r="N41" s="28">
        <v>8.4</v>
      </c>
    </row>
    <row r="42" spans="1:14" x14ac:dyDescent="0.35">
      <c r="A42" s="3" t="s">
        <v>154</v>
      </c>
      <c r="B42" s="3" t="s">
        <v>155</v>
      </c>
      <c r="C42" s="3" t="s">
        <v>6</v>
      </c>
      <c r="D42" s="3" t="s">
        <v>156</v>
      </c>
      <c r="E42" s="3">
        <v>5.5</v>
      </c>
      <c r="F42" s="37">
        <v>9.8000000000000007</v>
      </c>
      <c r="G42" s="37">
        <v>8.4</v>
      </c>
      <c r="H42" s="37">
        <v>7.5</v>
      </c>
      <c r="I42" s="37">
        <v>9</v>
      </c>
      <c r="J42" s="37">
        <v>7</v>
      </c>
      <c r="K42" s="3">
        <v>10</v>
      </c>
      <c r="M42" s="37" cm="1">
        <f t="array" ref="M42">ROUND(SUM(E42:L42/7),1)</f>
        <v>8.1999999999999993</v>
      </c>
      <c r="N42" s="3">
        <v>8.8000000000000007</v>
      </c>
    </row>
    <row r="43" spans="1:14" x14ac:dyDescent="0.35">
      <c r="A43" s="3" t="s">
        <v>157</v>
      </c>
      <c r="B43" s="3" t="s">
        <v>158</v>
      </c>
      <c r="C43" s="3" t="s">
        <v>6</v>
      </c>
      <c r="D43" s="3" t="s">
        <v>159</v>
      </c>
      <c r="E43" s="3">
        <v>5</v>
      </c>
      <c r="F43" s="37">
        <v>7.8</v>
      </c>
      <c r="G43" s="3">
        <v>10</v>
      </c>
      <c r="H43" s="37">
        <v>5.5</v>
      </c>
      <c r="I43" s="37">
        <v>5</v>
      </c>
      <c r="J43" s="37">
        <v>5</v>
      </c>
      <c r="K43" s="3">
        <v>10</v>
      </c>
      <c r="M43" s="37" cm="1">
        <f t="array" ref="M43">ROUND(SUM(E43:L43/7),1)</f>
        <v>6.9</v>
      </c>
      <c r="N43" s="3">
        <v>9.1999999999999993</v>
      </c>
    </row>
    <row r="44" spans="1:14" x14ac:dyDescent="0.35">
      <c r="A44" s="3" t="s">
        <v>160</v>
      </c>
      <c r="B44" s="3" t="s">
        <v>161</v>
      </c>
      <c r="C44" s="3" t="s">
        <v>14</v>
      </c>
      <c r="D44" s="3" t="s">
        <v>162</v>
      </c>
      <c r="E44" s="3">
        <v>9</v>
      </c>
      <c r="F44" s="3">
        <v>7.5</v>
      </c>
      <c r="G44" s="37">
        <v>8</v>
      </c>
      <c r="H44" s="37">
        <v>7.5</v>
      </c>
      <c r="I44" s="38">
        <v>8.5</v>
      </c>
      <c r="J44" s="37">
        <v>10</v>
      </c>
      <c r="K44" s="3">
        <v>10</v>
      </c>
      <c r="L44" s="39">
        <v>3</v>
      </c>
      <c r="M44" s="37" cm="1">
        <f t="array" ref="M44">ROUND(SUM(E44:L44/7),1)</f>
        <v>9.1</v>
      </c>
      <c r="N44" s="3">
        <v>8.4</v>
      </c>
    </row>
    <row r="45" spans="1:14" x14ac:dyDescent="0.35">
      <c r="A45" s="3" t="s">
        <v>163</v>
      </c>
      <c r="B45" s="3" t="s">
        <v>164</v>
      </c>
      <c r="C45" s="3" t="s">
        <v>165</v>
      </c>
      <c r="D45" s="3" t="s">
        <v>166</v>
      </c>
      <c r="E45" s="3">
        <v>8.5</v>
      </c>
      <c r="F45" s="3">
        <v>7.5</v>
      </c>
      <c r="G45" s="37">
        <v>8</v>
      </c>
      <c r="H45" s="37">
        <v>10</v>
      </c>
      <c r="I45" s="38">
        <v>8.5</v>
      </c>
      <c r="J45" s="37">
        <v>8.5</v>
      </c>
      <c r="K45" s="3">
        <v>10</v>
      </c>
      <c r="M45" s="37" cm="1">
        <f t="array" ref="M45">ROUND(SUM(E45:L45/7),1)</f>
        <v>8.6999999999999993</v>
      </c>
      <c r="N45" s="3">
        <v>8.4</v>
      </c>
    </row>
    <row r="46" spans="1:14" x14ac:dyDescent="0.35">
      <c r="A46" s="3" t="s">
        <v>167</v>
      </c>
      <c r="B46" s="3" t="s">
        <v>168</v>
      </c>
      <c r="C46" s="3" t="s">
        <v>169</v>
      </c>
      <c r="D46" s="3" t="s">
        <v>170</v>
      </c>
      <c r="E46" s="3">
        <v>0</v>
      </c>
      <c r="F46" s="3">
        <v>9</v>
      </c>
      <c r="G46" s="37">
        <v>8.4</v>
      </c>
      <c r="H46" s="37">
        <v>0</v>
      </c>
      <c r="I46" s="37">
        <v>7.3</v>
      </c>
      <c r="J46" s="37">
        <v>0</v>
      </c>
      <c r="K46" s="3">
        <v>10</v>
      </c>
      <c r="L46" s="39">
        <v>3</v>
      </c>
      <c r="M46" s="37" cm="1">
        <f t="array" ref="M46">ROUND(SUM(E46:L46/7),1)</f>
        <v>5.4</v>
      </c>
      <c r="N46" s="3">
        <v>7</v>
      </c>
    </row>
    <row r="47" spans="1:14" x14ac:dyDescent="0.35">
      <c r="A47" s="3" t="s">
        <v>171</v>
      </c>
      <c r="B47" s="3" t="s">
        <v>172</v>
      </c>
      <c r="C47" s="3" t="s">
        <v>173</v>
      </c>
      <c r="D47" s="3" t="s">
        <v>3</v>
      </c>
      <c r="E47" s="3">
        <v>7</v>
      </c>
      <c r="F47" s="3">
        <v>9.8000000000000007</v>
      </c>
      <c r="G47" s="37">
        <v>8.4</v>
      </c>
      <c r="H47" s="37">
        <v>8</v>
      </c>
      <c r="I47" s="37">
        <v>9</v>
      </c>
      <c r="J47" s="37">
        <v>9.5</v>
      </c>
      <c r="K47" s="3">
        <v>10</v>
      </c>
      <c r="M47" s="37" cm="1">
        <f t="array" ref="M47">ROUND(SUM(E47:L47/7),1)</f>
        <v>8.8000000000000007</v>
      </c>
      <c r="N47" s="3">
        <v>8.8000000000000007</v>
      </c>
    </row>
    <row r="48" spans="1:14" x14ac:dyDescent="0.35">
      <c r="A48" s="3" t="s">
        <v>174</v>
      </c>
      <c r="B48" s="3" t="s">
        <v>175</v>
      </c>
      <c r="C48" s="3" t="s">
        <v>176</v>
      </c>
      <c r="D48" s="3" t="s">
        <v>44</v>
      </c>
      <c r="E48" s="3">
        <v>5.5</v>
      </c>
      <c r="F48" s="3">
        <v>7.5</v>
      </c>
      <c r="G48" s="37">
        <v>8</v>
      </c>
      <c r="H48" s="37">
        <v>4.5</v>
      </c>
      <c r="I48" s="37">
        <v>7.5</v>
      </c>
      <c r="J48" s="37">
        <v>6</v>
      </c>
      <c r="K48" s="3">
        <v>0</v>
      </c>
      <c r="M48" s="37" cm="1">
        <f t="array" ref="M48">ROUND(SUM(E48:L48/7),1)</f>
        <v>5.6</v>
      </c>
      <c r="N48" s="3">
        <v>5</v>
      </c>
    </row>
    <row r="49" spans="1:14" x14ac:dyDescent="0.35">
      <c r="A49" s="3" t="s">
        <v>177</v>
      </c>
      <c r="B49" s="3" t="s">
        <v>178</v>
      </c>
      <c r="C49" s="3" t="s">
        <v>176</v>
      </c>
      <c r="D49" s="3" t="s">
        <v>179</v>
      </c>
      <c r="E49" s="3">
        <v>9.5</v>
      </c>
      <c r="F49" s="3">
        <v>8.5</v>
      </c>
      <c r="G49" s="3">
        <v>7.8</v>
      </c>
      <c r="H49" s="37">
        <v>10</v>
      </c>
      <c r="I49" s="37">
        <v>9</v>
      </c>
      <c r="J49" s="37">
        <v>9.5</v>
      </c>
      <c r="K49" s="3">
        <v>10</v>
      </c>
      <c r="L49" s="39">
        <v>2</v>
      </c>
      <c r="M49" s="37" cm="1">
        <f t="array" ref="M49">ROUND(SUM(E49:L49/7),1)</f>
        <v>9.5</v>
      </c>
      <c r="N49" s="3">
        <v>8.3000000000000007</v>
      </c>
    </row>
    <row r="50" spans="1:14" x14ac:dyDescent="0.35">
      <c r="A50" s="40" t="s">
        <v>180</v>
      </c>
      <c r="B50" s="40" t="s">
        <v>181</v>
      </c>
      <c r="C50" s="40" t="s">
        <v>182</v>
      </c>
      <c r="D50" s="40" t="s">
        <v>183</v>
      </c>
      <c r="E50" s="40"/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40">
        <v>0</v>
      </c>
      <c r="L50" s="40"/>
      <c r="M50" s="37" cm="1">
        <f t="array" ref="M50">ROUND(SUM(E50:L50/7),1)</f>
        <v>0</v>
      </c>
      <c r="N50" s="40">
        <v>0</v>
      </c>
    </row>
    <row r="51" spans="1:14" x14ac:dyDescent="0.35">
      <c r="A51" s="3" t="s">
        <v>184</v>
      </c>
      <c r="B51" s="3" t="s">
        <v>185</v>
      </c>
      <c r="C51" s="3" t="s">
        <v>186</v>
      </c>
      <c r="D51" s="3" t="s">
        <v>179</v>
      </c>
      <c r="E51" s="3">
        <v>8</v>
      </c>
      <c r="F51" s="3">
        <v>8.5</v>
      </c>
      <c r="G51" s="3">
        <v>7.8</v>
      </c>
      <c r="H51" s="37">
        <v>9.5</v>
      </c>
      <c r="I51" s="37">
        <v>9</v>
      </c>
      <c r="J51" s="37">
        <v>8.5</v>
      </c>
      <c r="K51" s="3">
        <v>0</v>
      </c>
      <c r="M51" s="37" cm="1">
        <f t="array" ref="M51">ROUND(SUM(E51:L51/7),1)</f>
        <v>7.3</v>
      </c>
      <c r="N51" s="3">
        <v>8.3000000000000007</v>
      </c>
    </row>
    <row r="52" spans="1:14" x14ac:dyDescent="0.35">
      <c r="A52" s="40" t="s">
        <v>187</v>
      </c>
      <c r="B52" s="40" t="s">
        <v>188</v>
      </c>
      <c r="C52" s="40" t="s">
        <v>61</v>
      </c>
      <c r="D52" s="40" t="s">
        <v>44</v>
      </c>
      <c r="E52" s="40"/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40">
        <v>0</v>
      </c>
      <c r="L52" s="40"/>
      <c r="M52" s="37" cm="1">
        <f t="array" ref="M52">ROUND(SUM(E52:L52/7),1)</f>
        <v>0</v>
      </c>
      <c r="N52" s="40">
        <v>0</v>
      </c>
    </row>
    <row r="53" spans="1:14" x14ac:dyDescent="0.35">
      <c r="A53" s="40" t="s">
        <v>189</v>
      </c>
      <c r="B53" s="40" t="s">
        <v>190</v>
      </c>
      <c r="C53" s="40" t="s">
        <v>61</v>
      </c>
      <c r="D53" s="40" t="s">
        <v>98</v>
      </c>
      <c r="E53" s="40"/>
      <c r="F53" s="24">
        <v>0</v>
      </c>
      <c r="G53" s="40">
        <v>0</v>
      </c>
      <c r="H53" s="24">
        <v>0</v>
      </c>
      <c r="I53" s="24">
        <v>0</v>
      </c>
      <c r="J53" s="24">
        <v>7</v>
      </c>
      <c r="K53" s="40">
        <v>0</v>
      </c>
      <c r="L53" s="40"/>
      <c r="M53" s="37" cm="1">
        <f t="array" ref="M53">ROUND(SUM(E53:L53/7),1)</f>
        <v>1</v>
      </c>
      <c r="N53" s="40">
        <v>0</v>
      </c>
    </row>
    <row r="54" spans="1:14" x14ac:dyDescent="0.35">
      <c r="A54" s="40" t="s">
        <v>191</v>
      </c>
      <c r="B54" s="40" t="s">
        <v>192</v>
      </c>
      <c r="C54" s="40" t="s">
        <v>80</v>
      </c>
      <c r="D54" s="40" t="s">
        <v>193</v>
      </c>
      <c r="E54" s="40"/>
      <c r="F54" s="24">
        <v>0</v>
      </c>
      <c r="G54" s="40">
        <v>0</v>
      </c>
      <c r="H54" s="24">
        <v>0</v>
      </c>
      <c r="I54" s="24">
        <v>0</v>
      </c>
      <c r="J54" s="24">
        <v>0</v>
      </c>
      <c r="K54" s="40">
        <v>10</v>
      </c>
      <c r="L54" s="40"/>
      <c r="M54" s="37" cm="1">
        <f t="array" ref="M54">ROUND(SUM(E54:L54/7),1)</f>
        <v>1.4</v>
      </c>
      <c r="N54" s="40">
        <v>0</v>
      </c>
    </row>
    <row r="55" spans="1:14" x14ac:dyDescent="0.35">
      <c r="A55" s="3" t="s">
        <v>194</v>
      </c>
      <c r="B55" s="3" t="s">
        <v>195</v>
      </c>
      <c r="C55" s="3" t="s">
        <v>86</v>
      </c>
      <c r="D55" s="3" t="s">
        <v>196</v>
      </c>
      <c r="E55" s="3">
        <v>6.5</v>
      </c>
      <c r="F55" s="3">
        <v>7.5</v>
      </c>
      <c r="G55" s="37">
        <v>8</v>
      </c>
      <c r="H55" s="37">
        <v>9.5</v>
      </c>
      <c r="I55" s="38">
        <v>8.5</v>
      </c>
      <c r="J55" s="37">
        <v>10</v>
      </c>
      <c r="K55" s="3">
        <v>10</v>
      </c>
      <c r="L55" s="39">
        <v>1</v>
      </c>
      <c r="M55" s="37" cm="1">
        <f t="array" ref="M55">ROUND(SUM(E55:L55/7),1)</f>
        <v>8.6999999999999993</v>
      </c>
      <c r="N55" s="3">
        <v>8.4</v>
      </c>
    </row>
    <row r="56" spans="1:14" x14ac:dyDescent="0.35">
      <c r="A56" s="3" t="s">
        <v>197</v>
      </c>
      <c r="B56" s="3" t="s">
        <v>198</v>
      </c>
      <c r="C56" s="3" t="s">
        <v>86</v>
      </c>
      <c r="D56" s="3" t="s">
        <v>193</v>
      </c>
      <c r="E56" s="3">
        <v>8</v>
      </c>
      <c r="F56" s="3">
        <v>7.8</v>
      </c>
      <c r="G56" s="3">
        <v>10</v>
      </c>
      <c r="H56" s="37">
        <v>9</v>
      </c>
      <c r="I56" s="37">
        <v>8</v>
      </c>
      <c r="J56" s="37">
        <v>9.5</v>
      </c>
      <c r="K56" s="3">
        <v>10</v>
      </c>
      <c r="M56" s="37" cm="1">
        <f t="array" ref="M56">ROUND(SUM(E56:L56/7),1)</f>
        <v>8.9</v>
      </c>
      <c r="N56" s="3">
        <v>9.1999999999999993</v>
      </c>
    </row>
    <row r="57" spans="1:14" x14ac:dyDescent="0.35">
      <c r="A57" s="3" t="s">
        <v>199</v>
      </c>
      <c r="B57" s="3" t="s">
        <v>200</v>
      </c>
      <c r="C57" s="3" t="s">
        <v>201</v>
      </c>
      <c r="D57" s="3" t="s">
        <v>193</v>
      </c>
      <c r="E57" s="3">
        <v>6.5</v>
      </c>
      <c r="F57" s="3">
        <v>7.8</v>
      </c>
      <c r="G57" s="3">
        <v>10</v>
      </c>
      <c r="H57" s="37">
        <v>5.5</v>
      </c>
      <c r="I57" s="37">
        <v>8</v>
      </c>
      <c r="J57" s="37">
        <v>8</v>
      </c>
      <c r="K57" s="3">
        <v>10</v>
      </c>
      <c r="L57" s="39">
        <v>4</v>
      </c>
      <c r="M57" s="37" cm="1">
        <f t="array" ref="M57">ROUND(SUM(E57:L57/7),1)</f>
        <v>8.5</v>
      </c>
      <c r="N57" s="3">
        <v>9.1999999999999993</v>
      </c>
    </row>
    <row r="58" spans="1:14" x14ac:dyDescent="0.35">
      <c r="A58" s="3" t="s">
        <v>202</v>
      </c>
      <c r="B58" s="3" t="s">
        <v>203</v>
      </c>
      <c r="C58" s="3" t="s">
        <v>204</v>
      </c>
      <c r="D58" s="3" t="s">
        <v>205</v>
      </c>
      <c r="E58" s="3">
        <v>7.5</v>
      </c>
      <c r="F58" s="37">
        <v>9</v>
      </c>
      <c r="G58" s="37">
        <v>8.4</v>
      </c>
      <c r="H58" s="37">
        <v>8</v>
      </c>
      <c r="I58" s="37">
        <v>7.3</v>
      </c>
      <c r="J58" s="37">
        <v>10</v>
      </c>
      <c r="K58" s="3">
        <v>10</v>
      </c>
      <c r="M58" s="37" cm="1">
        <f t="array" ref="M58">ROUND(SUM(E58:L58/7),1)</f>
        <v>8.6</v>
      </c>
      <c r="N58" s="3">
        <v>7</v>
      </c>
    </row>
    <row r="59" spans="1:14" x14ac:dyDescent="0.35">
      <c r="A59" s="3" t="s">
        <v>206</v>
      </c>
      <c r="B59" s="3" t="s">
        <v>207</v>
      </c>
      <c r="C59" s="3" t="s">
        <v>208</v>
      </c>
      <c r="D59" s="3" t="s">
        <v>209</v>
      </c>
      <c r="E59" s="3">
        <v>8.5</v>
      </c>
      <c r="F59" s="37">
        <v>8</v>
      </c>
      <c r="G59" s="37">
        <v>8</v>
      </c>
      <c r="H59" s="37">
        <v>8</v>
      </c>
      <c r="I59" s="37">
        <v>8</v>
      </c>
      <c r="J59" s="37">
        <v>10</v>
      </c>
      <c r="K59" s="3">
        <v>10</v>
      </c>
      <c r="L59" s="39">
        <v>1</v>
      </c>
      <c r="M59" s="37" cm="1">
        <f t="array" ref="M59">ROUND(SUM(E59:L59/7),1)</f>
        <v>8.8000000000000007</v>
      </c>
      <c r="N59" s="3">
        <v>8.1</v>
      </c>
    </row>
    <row r="60" spans="1:14" x14ac:dyDescent="0.35">
      <c r="A60" s="3" t="s">
        <v>210</v>
      </c>
      <c r="B60" s="3" t="s">
        <v>211</v>
      </c>
      <c r="C60" s="3" t="s">
        <v>208</v>
      </c>
      <c r="D60" s="3" t="s">
        <v>209</v>
      </c>
      <c r="E60" s="3">
        <v>8.5</v>
      </c>
      <c r="F60" s="37">
        <v>8</v>
      </c>
      <c r="G60" s="37">
        <v>8</v>
      </c>
      <c r="H60" s="37">
        <v>8.5</v>
      </c>
      <c r="I60" s="37">
        <v>8</v>
      </c>
      <c r="J60" s="37">
        <v>9.5</v>
      </c>
      <c r="K60" s="3">
        <v>10</v>
      </c>
      <c r="L60" s="39">
        <v>1</v>
      </c>
      <c r="M60" s="37" cm="1">
        <f t="array" ref="M60">ROUND(SUM(E60:L60/7),1)</f>
        <v>8.8000000000000007</v>
      </c>
      <c r="N60" s="3">
        <v>8.1</v>
      </c>
    </row>
    <row r="61" spans="1:14" x14ac:dyDescent="0.35">
      <c r="A61" s="3" t="s">
        <v>212</v>
      </c>
      <c r="B61" s="3" t="s">
        <v>213</v>
      </c>
      <c r="C61" s="3" t="s">
        <v>214</v>
      </c>
      <c r="D61" s="3" t="s">
        <v>196</v>
      </c>
      <c r="E61" s="3">
        <v>6.5</v>
      </c>
      <c r="F61" s="3">
        <v>7.5</v>
      </c>
      <c r="G61" s="37">
        <v>8</v>
      </c>
      <c r="H61" s="37">
        <v>8.5</v>
      </c>
      <c r="I61" s="38">
        <v>8.5</v>
      </c>
      <c r="J61" s="37">
        <v>0</v>
      </c>
      <c r="K61" s="3">
        <v>10</v>
      </c>
      <c r="L61" s="39">
        <v>1</v>
      </c>
      <c r="M61" s="37" cm="1">
        <f t="array" ref="M61">ROUND(SUM(E61:L61/7),1)</f>
        <v>7.1</v>
      </c>
      <c r="N61" s="3">
        <v>8.4</v>
      </c>
    </row>
    <row r="62" spans="1:14" x14ac:dyDescent="0.35">
      <c r="A62" s="3" t="s">
        <v>215</v>
      </c>
      <c r="B62" s="3" t="s">
        <v>216</v>
      </c>
      <c r="C62" s="3" t="s">
        <v>217</v>
      </c>
      <c r="D62" s="3" t="s">
        <v>218</v>
      </c>
      <c r="E62" s="3">
        <v>8.5</v>
      </c>
      <c r="F62" s="3">
        <v>7.5</v>
      </c>
      <c r="G62" s="37">
        <v>8</v>
      </c>
      <c r="H62" s="37">
        <v>4.5</v>
      </c>
      <c r="I62" s="37">
        <v>7.5</v>
      </c>
      <c r="J62" s="37">
        <v>5</v>
      </c>
      <c r="K62" s="3">
        <v>0</v>
      </c>
      <c r="M62" s="37" cm="1">
        <f t="array" ref="M62">ROUND(SUM(E62:L62/7),1)</f>
        <v>5.9</v>
      </c>
      <c r="N62" s="3">
        <v>5</v>
      </c>
    </row>
    <row r="63" spans="1:14" x14ac:dyDescent="0.35">
      <c r="A63" s="40" t="s">
        <v>219</v>
      </c>
      <c r="B63" s="40" t="s">
        <v>220</v>
      </c>
      <c r="C63" s="40" t="s">
        <v>221</v>
      </c>
      <c r="D63" s="40" t="s">
        <v>209</v>
      </c>
      <c r="E63" s="3">
        <v>7.5</v>
      </c>
      <c r="F63" s="37">
        <v>8</v>
      </c>
      <c r="G63" s="37">
        <v>8</v>
      </c>
      <c r="H63" s="37">
        <v>9.5</v>
      </c>
      <c r="I63" s="37">
        <v>8</v>
      </c>
      <c r="J63" s="37">
        <v>10</v>
      </c>
      <c r="K63" s="40">
        <v>10</v>
      </c>
      <c r="L63" s="41">
        <v>1</v>
      </c>
      <c r="M63" s="37" cm="1">
        <f t="array" ref="M63">ROUND(SUM(E63:L63/7),1)</f>
        <v>8.9</v>
      </c>
      <c r="N63" s="3">
        <v>8.1</v>
      </c>
    </row>
    <row r="64" spans="1:14" x14ac:dyDescent="0.35">
      <c r="A64" s="3" t="s">
        <v>222</v>
      </c>
      <c r="B64" s="3" t="s">
        <v>100</v>
      </c>
      <c r="C64" s="3" t="s">
        <v>223</v>
      </c>
      <c r="D64" s="3" t="s">
        <v>3</v>
      </c>
      <c r="E64" s="3">
        <v>9</v>
      </c>
      <c r="F64" s="3">
        <v>9.8000000000000007</v>
      </c>
      <c r="G64" s="37">
        <v>8.4</v>
      </c>
      <c r="H64" s="37">
        <v>8</v>
      </c>
      <c r="I64" s="37">
        <v>9</v>
      </c>
      <c r="J64" s="37">
        <v>9.5</v>
      </c>
      <c r="K64" s="3">
        <v>10</v>
      </c>
      <c r="L64" s="39">
        <v>5</v>
      </c>
      <c r="M64" s="37" cm="1">
        <f t="array" ref="M64">ROUND(SUM(E64:L64/7),1)</f>
        <v>9.8000000000000007</v>
      </c>
      <c r="N64" s="3">
        <v>8.8000000000000007</v>
      </c>
    </row>
    <row r="65" spans="1:14" x14ac:dyDescent="0.35">
      <c r="A65" s="3" t="s">
        <v>224</v>
      </c>
      <c r="B65" s="3" t="s">
        <v>225</v>
      </c>
      <c r="C65" s="3" t="s">
        <v>223</v>
      </c>
      <c r="D65" s="3" t="s">
        <v>209</v>
      </c>
      <c r="E65" s="3">
        <v>8</v>
      </c>
      <c r="F65" s="37">
        <v>8</v>
      </c>
      <c r="G65" s="37">
        <v>8</v>
      </c>
      <c r="H65" s="37">
        <v>9</v>
      </c>
      <c r="I65" s="37">
        <v>8</v>
      </c>
      <c r="J65" s="37">
        <v>9.5</v>
      </c>
      <c r="K65" s="3">
        <v>10</v>
      </c>
      <c r="L65" s="39">
        <v>1</v>
      </c>
      <c r="M65" s="37" cm="1">
        <f t="array" ref="M65">ROUND(SUM(E65:L65/7),1)</f>
        <v>8.8000000000000007</v>
      </c>
      <c r="N65" s="3">
        <v>8.1</v>
      </c>
    </row>
    <row r="66" spans="1:14" x14ac:dyDescent="0.35">
      <c r="A66" s="3" t="s">
        <v>226</v>
      </c>
      <c r="B66" s="3" t="s">
        <v>227</v>
      </c>
      <c r="C66" s="3" t="s">
        <v>119</v>
      </c>
      <c r="D66" s="3" t="s">
        <v>7</v>
      </c>
      <c r="E66" s="3">
        <v>6</v>
      </c>
      <c r="F66" s="37">
        <v>9</v>
      </c>
      <c r="G66" s="37">
        <v>8.4</v>
      </c>
      <c r="H66" s="37">
        <v>9.5</v>
      </c>
      <c r="I66" s="37">
        <v>7.3</v>
      </c>
      <c r="J66" s="37">
        <v>7</v>
      </c>
      <c r="K66" s="3">
        <v>10</v>
      </c>
      <c r="L66" s="37">
        <v>1</v>
      </c>
      <c r="M66" s="37" cm="1">
        <f t="array" ref="M66">ROUND(SUM(E66:L66/7),1)</f>
        <v>8.3000000000000007</v>
      </c>
      <c r="N66" s="3">
        <v>7</v>
      </c>
    </row>
    <row r="67" spans="1:14" x14ac:dyDescent="0.35">
      <c r="A67" s="3" t="s">
        <v>228</v>
      </c>
      <c r="B67" s="3" t="s">
        <v>229</v>
      </c>
      <c r="C67" s="3" t="s">
        <v>230</v>
      </c>
      <c r="D67" s="3" t="s">
        <v>231</v>
      </c>
      <c r="E67" s="3">
        <v>4</v>
      </c>
      <c r="F67" s="37">
        <v>9</v>
      </c>
      <c r="G67" s="37">
        <v>8.4</v>
      </c>
      <c r="H67" s="37">
        <v>6.5</v>
      </c>
      <c r="I67" s="37">
        <v>7.3</v>
      </c>
      <c r="J67" s="37">
        <v>5.5</v>
      </c>
      <c r="K67" s="3">
        <v>10</v>
      </c>
      <c r="M67" s="37" cm="1">
        <f t="array" ref="M67">ROUND(SUM(E67:L67/7),1)</f>
        <v>7.2</v>
      </c>
      <c r="N67" s="3">
        <v>7</v>
      </c>
    </row>
    <row r="68" spans="1:14" x14ac:dyDescent="0.35">
      <c r="A68" s="3" t="s">
        <v>232</v>
      </c>
      <c r="B68" s="3" t="s">
        <v>233</v>
      </c>
      <c r="C68" s="3" t="s">
        <v>234</v>
      </c>
      <c r="D68" s="3" t="s">
        <v>179</v>
      </c>
      <c r="E68" s="3">
        <v>7</v>
      </c>
      <c r="F68" s="37">
        <v>8.5</v>
      </c>
      <c r="G68" s="3">
        <v>7.8</v>
      </c>
      <c r="H68" s="37">
        <v>7</v>
      </c>
      <c r="I68" s="37">
        <v>9</v>
      </c>
      <c r="J68" s="37">
        <v>6.5</v>
      </c>
      <c r="K68" s="3">
        <v>10</v>
      </c>
      <c r="M68" s="37" cm="1">
        <f t="array" ref="M68">ROUND(SUM(E68:L68/7),1)</f>
        <v>8</v>
      </c>
      <c r="N68" s="3">
        <v>8.3000000000000007</v>
      </c>
    </row>
    <row r="69" spans="1:14" x14ac:dyDescent="0.35">
      <c r="A69" s="20"/>
      <c r="B69" s="20"/>
      <c r="C69" s="20"/>
      <c r="D69" s="20"/>
      <c r="E69" s="20"/>
      <c r="F69" s="20"/>
      <c r="G69" s="20"/>
      <c r="H69" s="21"/>
      <c r="I69" s="21"/>
      <c r="J69" s="21"/>
      <c r="K69" s="20"/>
      <c r="L69" s="20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Điểm số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Đỗ Hoàng Thu</cp:lastModifiedBy>
  <dcterms:created xsi:type="dcterms:W3CDTF">2025-08-14T01:09:22Z</dcterms:created>
  <dcterms:modified xsi:type="dcterms:W3CDTF">2025-11-11T08:23:11Z</dcterms:modified>
  <cp:category/>
</cp:coreProperties>
</file>